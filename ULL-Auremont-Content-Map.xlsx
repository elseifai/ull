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itemap" sheetId="2" state="visible" r:id="rId4"/>
    <sheet name="Gaps to Fill" sheetId="3" state="visible" r:id="rId5"/>
    <sheet name="Global" sheetId="4" state="visible" r:id="rId6"/>
    <sheet name="Home" sheetId="5" state="visible" r:id="rId7"/>
    <sheet name="About" sheetId="6" state="visible" r:id="rId8"/>
    <sheet name="Academics" sheetId="7" state="visible" r:id="rId9"/>
    <sheet name="Student Life" sheetId="8" state="visible" r:id="rId10"/>
    <sheet name="Admissions" sheetId="9" state="visible" r:id="rId11"/>
    <sheet name="Campus" sheetId="10" state="visible" r:id="rId12"/>
    <sheet name="Parents" sheetId="11" state="visible" r:id="rId13"/>
    <sheet name="News &amp; Events" sheetId="12" state="visible" r:id="rId14"/>
    <sheet name="Contact &amp; Careers" sheetId="13" state="visible" r:id="rId15"/>
    <sheet name="Legal &amp; Compliance" sheetId="14" state="visible" r:id="rId16"/>
    <sheet name="Portal" sheetId="15" state="visible" r:id="rId17"/>
  </sheets>
  <definedNames>
    <definedName function="false" hidden="true" localSheetId="5" name="_xlnm._FilterDatabase" vbProcedure="false">About!$A$4:$L$16</definedName>
    <definedName function="false" hidden="true" localSheetId="6" name="_xlnm._FilterDatabase" vbProcedure="false">Academics!$A$4:$L$17</definedName>
    <definedName function="false" hidden="true" localSheetId="8" name="_xlnm._FilterDatabase" vbProcedure="false">Admissions!$A$4:$L$17</definedName>
    <definedName function="false" hidden="true" localSheetId="9" name="_xlnm._FilterDatabase" vbProcedure="false">Campus!$A$4:$L$13</definedName>
    <definedName function="false" hidden="true" localSheetId="12" name="_xlnm._FilterDatabase" vbProcedure="false">'Contact &amp; Careers'!$A$4:$L$8</definedName>
    <definedName function="false" hidden="true" localSheetId="2" name="_xlnm._FilterDatabase" vbProcedure="false">'Gaps to Fill'!$A$4:$H$69</definedName>
    <definedName function="false" hidden="true" localSheetId="3" name="_xlnm._FilterDatabase" vbProcedure="false">Global!$A$4:$L$15</definedName>
    <definedName function="false" hidden="true" localSheetId="4" name="_xlnm._FilterDatabase" vbProcedure="false">Home!$A$4:$L$19</definedName>
    <definedName function="false" hidden="true" localSheetId="13" name="_xlnm._FilterDatabase" vbProcedure="false">'Legal &amp; Compliance'!$A$4:$L$10</definedName>
    <definedName function="false" hidden="true" localSheetId="11" name="_xlnm._FilterDatabase" vbProcedure="false">'News &amp; Events'!$A$4:$L$7</definedName>
    <definedName function="false" hidden="true" localSheetId="10" name="_xlnm._FilterDatabase" vbProcedure="false">Parents!$A$4:$L$11</definedName>
    <definedName function="false" hidden="true" localSheetId="14" name="_xlnm._FilterDatabase" vbProcedure="false">Portal!$A$4:$L$12</definedName>
    <definedName function="false" hidden="true" localSheetId="7" name="_xlnm._FilterDatabase" vbProcedure="false">'Student Life'!$A$4:$L$16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<sst xmlns="http://schemas.openxmlformats.org/spreadsheetml/2006/main" count="1815" uniqueCount="662">
  <si>
    <t xml:space="preserve">ULL Auremont website — content map</t>
  </si>
  <si>
    <t xml:space="preserve">Purpose</t>
  </si>
  <si>
    <t xml:space="preserve">Page-by-page, section-by-section content plan for ullindia.com, laid out in the US school/university website format, mapped to the content we already have.</t>
  </si>
  <si>
    <t xml:space="preserve">Source content</t>
  </si>
  <si>
    <t xml:space="preserve">admissionportal/content/site-content.md (brand reference copy supplied by ULL). Vision, mission and values are ULL's own and are kept as written.</t>
  </si>
  <si>
    <t xml:space="preserve">How to use</t>
  </si>
  <si>
    <t xml:space="preserve">1) Start with 'Gaps to Fill': it lists every item we still need, Launch items first. 2) Each page sheet shows every section in layout order. 3) When you supply an item, change its Status cell to Ready; the Sitemap counts update.</t>
  </si>
  <si>
    <t xml:space="preserve">Status legend</t>
  </si>
  <si>
    <t xml:space="preserve">Ready = we have the content (green). Partial = some content exists, needs a detail or approval (amber). Missing = needs to be written or supplied (red).</t>
  </si>
  <si>
    <t xml:space="preserve">Owner column</t>
  </si>
  <si>
    <t xml:space="preserve">School = ULL team provides it. Agency = we write or design it.</t>
  </si>
  <si>
    <t xml:space="preserve">Example</t>
  </si>
  <si>
    <t xml:space="preserve">Footer → Contact block → Missing → 'Full address with PIN, main phone, admissions phone/WhatsApp, email, office hours, Google Maps link'.</t>
  </si>
  <si>
    <t xml:space="preserve">Prepared</t>
  </si>
  <si>
    <t xml:space="preserve">2026-10-20, draft v1 for review.</t>
  </si>
  <si>
    <t xml:space="preserve">Ready</t>
  </si>
  <si>
    <t xml:space="preserve">Partial</t>
  </si>
  <si>
    <t xml:space="preserve">Missing</t>
  </si>
  <si>
    <t xml:space="preserve">ULL Auremont — sitemap and content readiness</t>
  </si>
  <si>
    <t xml:space="preserve">Counts update automatically from each sheet's Status column.</t>
  </si>
  <si>
    <t xml:space="preserve">Sheet</t>
  </si>
  <si>
    <t xml:space="preserve">Pages</t>
  </si>
  <si>
    <t xml:space="preserve">Sections</t>
  </si>
  <si>
    <t xml:space="preserve">% Ready</t>
  </si>
  <si>
    <t xml:space="preserve">Global</t>
  </si>
  <si>
    <t xml:space="preserve">All pages</t>
  </si>
  <si>
    <t xml:space="preserve">Home</t>
  </si>
  <si>
    <t xml:space="preserve">About</t>
  </si>
  <si>
    <t xml:space="preserve">About Overview · Mission, Vision &amp; Values · What Makes Us Unique · Leadership · Faculty · Accreditation &amp; Affiliation · Brand Ambassador</t>
  </si>
  <si>
    <t xml:space="preserve">Academics</t>
  </si>
  <si>
    <t xml:space="preserve">Academics Overview · Learning Cycle · Foundational Stage · Preparatory Stage · Middle Stage · Secondary Stage · Assessment &amp; Progress · Academic Calendar · Library &amp; Reading · Results &amp; Achievements</t>
  </si>
  <si>
    <t xml:space="preserve">Student Life</t>
  </si>
  <si>
    <t xml:space="preserve">Sports &amp; Fitness · Pulse · Ruchi · Kushala · Aurora Lab &amp; Robotics · Summit Pathway · Clubs &amp; Events</t>
  </si>
  <si>
    <t xml:space="preserve">Admissions</t>
  </si>
  <si>
    <t xml:space="preserve">Admissions Overview · Admission Process · Key Dates · Fees &amp; Scholarships · Visit Us · Enquire · Apply Online · Admissions FAQ · Admissions Contact</t>
  </si>
  <si>
    <t xml:space="preserve">Campus</t>
  </si>
  <si>
    <t xml:space="preserve">Campus Overview · Facilities · Campus Tour · Gallery · Safety &amp; Security · Health &amp; Wellbeing · Transport · Meals · Location</t>
  </si>
  <si>
    <t xml:space="preserve">Parents</t>
  </si>
  <si>
    <t xml:space="preserve">Parents Overview · School Day · Uniform · Policies · Calendar &amp; Circulars · Parent Portal</t>
  </si>
  <si>
    <t xml:space="preserve">News &amp; Events</t>
  </si>
  <si>
    <t xml:space="preserve">News · Events · Blog / Parent Resources</t>
  </si>
  <si>
    <t xml:space="preserve">Contact &amp; Careers</t>
  </si>
  <si>
    <t xml:space="preserve">Contact · Careers · Alumni</t>
  </si>
  <si>
    <t xml:space="preserve">Legal &amp; Compliance</t>
  </si>
  <si>
    <t xml:space="preserve">Mandatory Public Disclosure · Privacy Policy · Terms of Use · Child Safeguarding · Accessibility · Image disclaimer</t>
  </si>
  <si>
    <t xml:space="preserve">Portal</t>
  </si>
  <si>
    <t xml:space="preserve">Register / Login · Dashboard · Add Child · Application · Documents · Application Status · Messages · Visitor Pass</t>
  </si>
  <si>
    <t xml:space="preserve">Total</t>
  </si>
  <si>
    <t xml:space="preserve">Content gaps to fill (Missing first, then Partial)</t>
  </si>
  <si>
    <t xml:space="preserve">Snapshot when this file was made. Update Status on the page sheets as items arrive.</t>
  </si>
  <si>
    <t xml:space="preserve">#</t>
  </si>
  <si>
    <t xml:space="preserve">Priority</t>
  </si>
  <si>
    <t xml:space="preserve">Page</t>
  </si>
  <si>
    <t xml:space="preserve">Section</t>
  </si>
  <si>
    <t xml:space="preserve">What you need to provide</t>
  </si>
  <si>
    <t xml:space="preserve">Images / assets</t>
  </si>
  <si>
    <t xml:space="preserve">Status</t>
  </si>
  <si>
    <t xml:space="preserve">Launch</t>
  </si>
  <si>
    <t xml:space="preserve">Contact block</t>
  </si>
  <si>
    <t xml:space="preserve">Full address with PIN, main phone, admissions phone/WhatsApp, email, office hours, Google Maps link</t>
  </si>
  <si>
    <t xml:space="preserve">—</t>
  </si>
  <si>
    <t xml:space="preserve">Social links</t>
  </si>
  <si>
    <t xml:space="preserve">Official social media handles/URLs</t>
  </si>
  <si>
    <t xml:space="preserve">Affiliation line</t>
  </si>
  <si>
    <t xml:space="preserve">CBSE affiliation number and school code (or 'affiliation applied' status)</t>
  </si>
  <si>
    <t xml:space="preserve">WhatsApp button</t>
  </si>
  <si>
    <t xml:space="preserve">WATI WhatsApp business number</t>
  </si>
  <si>
    <t xml:space="preserve">Key facts strip</t>
  </si>
  <si>
    <t xml:space="preserve">Numbers: years serving Nagarbhavi, student count, student–teacher ratio, class size, campus size, number of sports/clubs</t>
  </si>
  <si>
    <t xml:space="preserve">Icons (we design)</t>
  </si>
  <si>
    <t xml:space="preserve">Principal's welcome</t>
  </si>
  <si>
    <t xml:space="preserve">Principal's name, photo and welcome message</t>
  </si>
  <si>
    <t xml:space="preserve">Principal portrait</t>
  </si>
  <si>
    <t xml:space="preserve">Parent testimonials</t>
  </si>
  <si>
    <t xml:space="preserve">3–5 parent testimonials with consent (or skip until first term)</t>
  </si>
  <si>
    <t xml:space="preserve">Parent photos (optional)</t>
  </si>
  <si>
    <t xml:space="preserve">Photo strip</t>
  </si>
  <si>
    <t xml:space="preserve">Real campus/children photos (consent-cleared)</t>
  </si>
  <si>
    <t xml:space="preserve">Photos</t>
  </si>
  <si>
    <t xml:space="preserve">About Overview</t>
  </si>
  <si>
    <t xml:space="preserve">Our story / history</t>
  </si>
  <si>
    <t xml:space="preserve">Story: when ULL started in Nagarbhavi, milestones, why the renewal, founders</t>
  </si>
  <si>
    <t xml:space="preserve">Archive/founding photos</t>
  </si>
  <si>
    <t xml:space="preserve">Leadership</t>
  </si>
  <si>
    <t xml:space="preserve">Principal's message</t>
  </si>
  <si>
    <t xml:space="preserve">Principal's full message (250–400 words), name, qualifications</t>
  </si>
  <si>
    <t xml:space="preserve">Management / governing body</t>
  </si>
  <si>
    <t xml:space="preserve">Names, roles and photos of trustees/management (ULL leadership)</t>
  </si>
  <si>
    <t xml:space="preserve">Portraits</t>
  </si>
  <si>
    <t xml:space="preserve">Faculty</t>
  </si>
  <si>
    <t xml:space="preserve">Faculty directory</t>
  </si>
  <si>
    <t xml:space="preserve">Faculty list with subjects and qualifications (photos optional)</t>
  </si>
  <si>
    <t xml:space="preserve">Teacher photos</t>
  </si>
  <si>
    <t xml:space="preserve">Admission Process</t>
  </si>
  <si>
    <t xml:space="preserve">Eligibility &amp; age criteria</t>
  </si>
  <si>
    <t xml:space="preserve">Age criteria per grade (as on 1 June / 31 March), eligibility for lateral entry</t>
  </si>
  <si>
    <t xml:space="preserve">Documents required</t>
  </si>
  <si>
    <t xml:space="preserve">Document list (birth certificate, TC, report card, Aadhaar, photos, address proof, etc.)</t>
  </si>
  <si>
    <t xml:space="preserve">Key Dates</t>
  </si>
  <si>
    <t xml:space="preserve">Admission timeline</t>
  </si>
  <si>
    <t xml:space="preserve">Admission calendar dates</t>
  </si>
  <si>
    <t xml:space="preserve">Fees &amp; Scholarships</t>
  </si>
  <si>
    <t xml:space="preserve">Fee structure</t>
  </si>
  <si>
    <t xml:space="preserve">Decide: publish fee table per grade, or 'fees shared at visit'. Transport/meal fees</t>
  </si>
  <si>
    <t xml:space="preserve">Fee PDF</t>
  </si>
  <si>
    <t xml:space="preserve">Scholarships / sibling concession</t>
  </si>
  <si>
    <t xml:space="preserve">Scholarship, sibling or merit concession policy (or 'none')</t>
  </si>
  <si>
    <t xml:space="preserve">Admissions Contact</t>
  </si>
  <si>
    <t xml:space="preserve">Admissions team</t>
  </si>
  <si>
    <t xml:space="preserve">Admissions counsellor name(s), direct phone/WhatsApp, hours</t>
  </si>
  <si>
    <t xml:space="preserve">Counsellor photo</t>
  </si>
  <si>
    <t xml:space="preserve">Contact</t>
  </si>
  <si>
    <t xml:space="preserve">Contact details + map</t>
  </si>
  <si>
    <t xml:space="preserve">All contact details (see Global → Contact block)</t>
  </si>
  <si>
    <t xml:space="preserve">Mandatory Public Disclosure</t>
  </si>
  <si>
    <t xml:space="preserve">CBSE disclosure</t>
  </si>
  <si>
    <t xml:space="preserve">All CBSE Appendix-IX data and documents (affiliation letter, NOC, building safety, fire, water, etc.)</t>
  </si>
  <si>
    <t xml:space="preserve">PDF documents</t>
  </si>
  <si>
    <t xml:space="preserve">Privacy Policy</t>
  </si>
  <si>
    <t xml:space="preserve">Privacy policy</t>
  </si>
  <si>
    <t xml:space="preserve">Approve draft we prepare; name of grievance officer/contact</t>
  </si>
  <si>
    <t xml:space="preserve">Terms of Use</t>
  </si>
  <si>
    <t xml:space="preserve">Website terms</t>
  </si>
  <si>
    <t xml:space="preserve">Approve draft we prepare</t>
  </si>
  <si>
    <t xml:space="preserve">Child Safeguarding</t>
  </si>
  <si>
    <t xml:space="preserve">Safeguarding/POCSO policy</t>
  </si>
  <si>
    <t xml:space="preserve">Policy text and contact person</t>
  </si>
  <si>
    <t xml:space="preserve">Logo + main navigation</t>
  </si>
  <si>
    <t xml:space="preserve">High-resolution logo file (SVG or PNG, transparent background); approve final menu names</t>
  </si>
  <si>
    <t xml:space="preserve">Logo SVG/PNG</t>
  </si>
  <si>
    <t xml:space="preserve">Location</t>
  </si>
  <si>
    <t xml:space="preserve">Map + directions</t>
  </si>
  <si>
    <t xml:space="preserve">Exact address, landmarks, parking info</t>
  </si>
  <si>
    <t xml:space="preserve">Phase 2</t>
  </si>
  <si>
    <t xml:space="preserve">Academic Calendar</t>
  </si>
  <si>
    <t xml:space="preserve">Year calendar</t>
  </si>
  <si>
    <t xml:space="preserve">Academic year calendar (term dates, holidays, exam windows, PTMs, Term Showcase dates)</t>
  </si>
  <si>
    <t xml:space="preserve">PDF calendar</t>
  </si>
  <si>
    <t xml:space="preserve">Library &amp; Reading</t>
  </si>
  <si>
    <t xml:space="preserve">Library programme</t>
  </si>
  <si>
    <t xml:space="preserve">Library details: size, timings, reading programme</t>
  </si>
  <si>
    <t xml:space="preserve">Library photo</t>
  </si>
  <si>
    <t xml:space="preserve">Results &amp; Achievements</t>
  </si>
  <si>
    <t xml:space="preserve">Board results, olympiads, awards</t>
  </si>
  <si>
    <t xml:space="preserve">Past Grade 10 results (if any), olympiad/competition wins; or hide until first results</t>
  </si>
  <si>
    <t xml:space="preserve">Sports &amp; Fitness</t>
  </si>
  <si>
    <t xml:space="preserve">Houses</t>
  </si>
  <si>
    <t xml:space="preserve">House names, colours and mascots</t>
  </si>
  <si>
    <t xml:space="preserve">House crests</t>
  </si>
  <si>
    <t xml:space="preserve">Facilities</t>
  </si>
  <si>
    <t xml:space="preserve">Facility list</t>
  </si>
  <si>
    <t xml:space="preserve">Confirmed facility list with 2–3 lines each</t>
  </si>
  <si>
    <t xml:space="preserve">Photo per facility</t>
  </si>
  <si>
    <t xml:space="preserve">Campus Tour</t>
  </si>
  <si>
    <t xml:space="preserve">Virtual tour</t>
  </si>
  <si>
    <t xml:space="preserve">Real photos or walk-through video; label any concept images clearly</t>
  </si>
  <si>
    <t xml:space="preserve">Photos/video</t>
  </si>
  <si>
    <t xml:space="preserve">Gallery</t>
  </si>
  <si>
    <t xml:space="preserve">Filterable gallery</t>
  </si>
  <si>
    <t xml:space="preserve">Real photo sets per category with consent</t>
  </si>
  <si>
    <t xml:space="preserve">Safety &amp; Security</t>
  </si>
  <si>
    <t xml:space="preserve">Safety page</t>
  </si>
  <si>
    <t xml:space="preserve">Safety measures, CCTV, gate/visitor policy, staff background checks, POCSO committee, fire drills</t>
  </si>
  <si>
    <t xml:space="preserve">Health &amp; Wellbeing</t>
  </si>
  <si>
    <t xml:space="preserve">Infirmary + counsellor</t>
  </si>
  <si>
    <t xml:space="preserve">Infirmary staffing, school counsellor, health check-ups</t>
  </si>
  <si>
    <t xml:space="preserve">Transport</t>
  </si>
  <si>
    <t xml:space="preserve">Bus routes</t>
  </si>
  <si>
    <t xml:space="preserve">Routes/areas covered, safety features, transport fee approach</t>
  </si>
  <si>
    <t xml:space="preserve">Bus photo</t>
  </si>
  <si>
    <t xml:space="preserve">Meals</t>
  </si>
  <si>
    <t xml:space="preserve">Food programme</t>
  </si>
  <si>
    <t xml:space="preserve">Is lunch provided? Menu sample, veg/non-veg policy</t>
  </si>
  <si>
    <t xml:space="preserve">Dining photo</t>
  </si>
  <si>
    <t xml:space="preserve">School Day</t>
  </si>
  <si>
    <t xml:space="preserve">Timings</t>
  </si>
  <si>
    <t xml:space="preserve">School timings per stage, Saturday policy, after-school options</t>
  </si>
  <si>
    <t xml:space="preserve">Uniform</t>
  </si>
  <si>
    <t xml:space="preserve">Uniform guide</t>
  </si>
  <si>
    <t xml:space="preserve">Uniform details, where to buy, sports uniform</t>
  </si>
  <si>
    <t xml:space="preserve">Uniform photos</t>
  </si>
  <si>
    <t xml:space="preserve">Policies</t>
  </si>
  <si>
    <t xml:space="preserve">Key policies</t>
  </si>
  <si>
    <t xml:space="preserve">Attendance, homework, mobile/device, discipline, leave and fee-payment policies</t>
  </si>
  <si>
    <t xml:space="preserve">PDFs</t>
  </si>
  <si>
    <t xml:space="preserve">Calendar &amp; Circulars</t>
  </si>
  <si>
    <t xml:space="preserve">Calendar + circulars</t>
  </si>
  <si>
    <t xml:space="preserve">Calendar (shared with Academics) and circular format</t>
  </si>
  <si>
    <t xml:space="preserve">News</t>
  </si>
  <si>
    <t xml:space="preserve">News list + article template</t>
  </si>
  <si>
    <t xml:space="preserve">3–5 launch articles (Auremont launch, Jonty Rhodes, admissions open, campus renewal)</t>
  </si>
  <si>
    <t xml:space="preserve">Article photos</t>
  </si>
  <si>
    <t xml:space="preserve">Events</t>
  </si>
  <si>
    <t xml:space="preserve">Events calendar + event page</t>
  </si>
  <si>
    <t xml:space="preserve">Upcoming events: Open House, Term Showcase, Sports Meet dates</t>
  </si>
  <si>
    <t xml:space="preserve">Event images</t>
  </si>
  <si>
    <t xml:space="preserve">Blog / Parent Resources</t>
  </si>
  <si>
    <t xml:space="preserve">Articles for SEO</t>
  </si>
  <si>
    <t xml:space="preserve">Topics list + author (e.g. choosing a CBSE school, NEP 2020 explained, early years)</t>
  </si>
  <si>
    <t xml:space="preserve">Application</t>
  </si>
  <si>
    <t xml:space="preserve">Application form</t>
  </si>
  <si>
    <t xml:space="preserve">Final application form fields and declaration text from school</t>
  </si>
  <si>
    <t xml:space="preserve">Sample paper form (if any)</t>
  </si>
  <si>
    <t xml:space="preserve">Documents</t>
  </si>
  <si>
    <t xml:space="preserve">Document upload</t>
  </si>
  <si>
    <t xml:space="preserve">Document list (same as Admissions → Documents)</t>
  </si>
  <si>
    <t xml:space="preserve">Messages</t>
  </si>
  <si>
    <t xml:space="preserve">Message templates</t>
  </si>
  <si>
    <t xml:space="preserve">Approve message wording; WATI/Gupshup template approvals; sender ID</t>
  </si>
  <si>
    <t xml:space="preserve">Quick links + legal</t>
  </si>
  <si>
    <t xml:space="preserve">Approve; legal pages content needed (see Legal sheet)</t>
  </si>
  <si>
    <t xml:space="preserve">Group line</t>
  </si>
  <si>
    <t xml:space="preserve">Confirm group name usage and link to ullindia.com group page</t>
  </si>
  <si>
    <t xml:space="preserve">ULL group logo</t>
  </si>
  <si>
    <t xml:space="preserve">Site-wide SEO</t>
  </si>
  <si>
    <t xml:space="preserve">Favicon, share image (1200×630), Google Business Profile link, target keywords list (e.g. 'CBSE school Nagarbhavi')</t>
  </si>
  <si>
    <t xml:space="preserve">Favicon, OG image</t>
  </si>
  <si>
    <t xml:space="preserve">Ambassador feature</t>
  </si>
  <si>
    <t xml:space="preserve">Approved Jonty Rhodes quote and usage rights for his photo</t>
  </si>
  <si>
    <t xml:space="preserve">Licensed ambassador photo</t>
  </si>
  <si>
    <t xml:space="preserve">Latest news + upcoming events</t>
  </si>
  <si>
    <t xml:space="preserve">2–3 starter news items and upcoming dates (Open House, Admissions)</t>
  </si>
  <si>
    <t xml:space="preserve">Event photos</t>
  </si>
  <si>
    <t xml:space="preserve">Accreditation &amp; Affiliation</t>
  </si>
  <si>
    <t xml:space="preserve">CBSE affiliation, NCF/NEP alignment</t>
  </si>
  <si>
    <t xml:space="preserve">Affiliation number, school code, validity, any memberships/awards</t>
  </si>
  <si>
    <t xml:space="preserve">Certificates (scans)</t>
  </si>
  <si>
    <t xml:space="preserve">Brand Ambassador</t>
  </si>
  <si>
    <t xml:space="preserve">Ambassador story</t>
  </si>
  <si>
    <t xml:space="preserve">Short bio + quote + what he will do with students</t>
  </si>
  <si>
    <t xml:space="preserve">Licensed photos/video</t>
  </si>
  <si>
    <t xml:space="preserve">Sports offered + facilities</t>
  </si>
  <si>
    <t xml:space="preserve">Confirm actual sports facilities and coaches (names/credentials)</t>
  </si>
  <si>
    <t xml:space="preserve">Facility photos</t>
  </si>
  <si>
    <t xml:space="preserve">Clubs &amp; Events</t>
  </si>
  <si>
    <t xml:space="preserve">Annual events</t>
  </si>
  <si>
    <t xml:space="preserve">Annual Day, field trips, festivals celebrated, competitions list</t>
  </si>
  <si>
    <t xml:space="preserve">Admissions Overview</t>
  </si>
  <si>
    <t xml:space="preserve">Admissions open banner</t>
  </si>
  <si>
    <t xml:space="preserve">Admission year (e.g. 2027–28)</t>
  </si>
  <si>
    <t xml:space="preserve">Family/counselling photo</t>
  </si>
  <si>
    <t xml:space="preserve">5 steps</t>
  </si>
  <si>
    <t xml:space="preserve">Admissions phone number (step 1 says [phone])</t>
  </si>
  <si>
    <t xml:space="preserve">Step icons (we design)</t>
  </si>
  <si>
    <t xml:space="preserve">Visit Us</t>
  </si>
  <si>
    <t xml:space="preserve">Book a campus visit</t>
  </si>
  <si>
    <t xml:space="preserve">Visit days and time slots, max visits per slot</t>
  </si>
  <si>
    <t xml:space="preserve">Campus photo</t>
  </si>
  <si>
    <t xml:space="preserve">Apply Online</t>
  </si>
  <si>
    <t xml:space="preserve">Apply now → portal</t>
  </si>
  <si>
    <t xml:space="preserve">Application form fields (see Portal sheet)</t>
  </si>
  <si>
    <t xml:space="preserve">Admissions FAQ</t>
  </si>
  <si>
    <t xml:space="preserve">FAQs (FAQPage schema)</t>
  </si>
  <si>
    <t xml:space="preserve">Fill [number] years in 'Is it a new school?'; add FAQs on fees, transport, timings, uniform, meals, age criteria</t>
  </si>
  <si>
    <t xml:space="preserve">Campus Overview</t>
  </si>
  <si>
    <t xml:space="preserve">Campus intro</t>
  </si>
  <si>
    <t xml:space="preserve">Campus size, buildings, one-paragraph description</t>
  </si>
  <si>
    <t xml:space="preserve">Aerial/exterior photo</t>
  </si>
  <si>
    <t xml:space="preserve">Careers</t>
  </si>
  <si>
    <t xml:space="preserve">Why work with us + openings</t>
  </si>
  <si>
    <t xml:space="preserve">Open positions, HR email, application process</t>
  </si>
  <si>
    <t xml:space="preserve">Staff photo</t>
  </si>
  <si>
    <t xml:space="preserve">Add Child</t>
  </si>
  <si>
    <t xml:space="preserve">Child profile</t>
  </si>
  <si>
    <t xml:space="preserve">Confirm required fields</t>
  </si>
  <si>
    <t xml:space="preserve">Visitor Pass</t>
  </si>
  <si>
    <t xml:space="preserve">QR visitor pass + front desk</t>
  </si>
  <si>
    <t xml:space="preserve">Front desk staff list, hosts to notify, visitor ID policy</t>
  </si>
  <si>
    <t xml:space="preserve">Optional</t>
  </si>
  <si>
    <t xml:space="preserve">Alumni</t>
  </si>
  <si>
    <t xml:space="preserve">Alumni network</t>
  </si>
  <si>
    <t xml:space="preserve">Optional: alumni stories of ULL; can skip at launch</t>
  </si>
  <si>
    <t xml:space="preserve">Global — content map</t>
  </si>
  <si>
    <t xml:space="preserve">Rows shaded red = Missing, amber = Partial, green = Ready. Fill the 'What you need to provide' items, then set Status to Ready.</t>
  </si>
  <si>
    <t xml:space="preserve">URL</t>
  </si>
  <si>
    <t xml:space="preserve">Layout block</t>
  </si>
  <si>
    <t xml:space="preserve">What goes here (US standard)</t>
  </si>
  <si>
    <t xml:space="preserve">Content we have (source)</t>
  </si>
  <si>
    <t xml:space="preserve">Owner</t>
  </si>
  <si>
    <t xml:space="preserve">Notes</t>
  </si>
  <si>
    <t xml:space="preserve">Utility bar</t>
  </si>
  <si>
    <t xml:space="preserve">Quick links</t>
  </si>
  <si>
    <t xml:space="preserve">US pattern: Apply · Visit · Enquire · Parent Login always one click away</t>
  </si>
  <si>
    <t xml:space="preserve">site-content.md: Concept CTAs: Book a campus visit, Enquire now, Apply now</t>
  </si>
  <si>
    <t xml:space="preserve">Confirm labels: Apply / Book a Visit / Enquire / Parent Login</t>
  </si>
  <si>
    <t xml:space="preserve">Agency</t>
  </si>
  <si>
    <t xml:space="preserve">Header</t>
  </si>
  <si>
    <t xml:space="preserve">Logo left, 8 menus, sticky on scroll, mobile menu</t>
  </si>
  <si>
    <t xml:space="preserve">site-content.md: Concept nav: Our approach, Academics, School life, Gallery, Campus tour, For parents, Plan a visit</t>
  </si>
  <si>
    <t xml:space="preserve">School</t>
  </si>
  <si>
    <t xml:space="preserve">Announcement strip</t>
  </si>
  <si>
    <t xml:space="preserve">Optional one-line notice (admissions open, events)</t>
  </si>
  <si>
    <t xml:space="preserve">site-content.md: 'Admissions open for Nursery to Grade 10'</t>
  </si>
  <si>
    <t xml:space="preserve">Admissions year to show (e.g. 2027–28)</t>
  </si>
  <si>
    <t xml:space="preserve">Footer</t>
  </si>
  <si>
    <t xml:space="preserve">Brand block</t>
  </si>
  <si>
    <t xml:space="preserve">Logo, tagline, motto</t>
  </si>
  <si>
    <t xml:space="preserve">site-content.md: Tagline + motto in Brand essentials</t>
  </si>
  <si>
    <t xml:space="preserve">Logo (light version for dark footer)</t>
  </si>
  <si>
    <t xml:space="preserve">Address, phone, email, office hours, map link</t>
  </si>
  <si>
    <t xml:space="preserve">Contact line has [address], [PIN], [phone], [email] placeholders</t>
  </si>
  <si>
    <t xml:space="preserve">Sitemap links, Privacy, Terms, Mandatory Disclosure, Accessibility</t>
  </si>
  <si>
    <t xml:space="preserve">Instagram, Facebook, YouTube, LinkedIn</t>
  </si>
  <si>
    <t xml:space="preserve">'Affiliated to CBSE, New Delhi · Affiliation No. ____ · School Code ____'</t>
  </si>
  <si>
    <t xml:space="preserve">CBSE stated, no numbers</t>
  </si>
  <si>
    <t xml:space="preserve">'A United Learning League (ULL) school'</t>
  </si>
  <si>
    <t xml:space="preserve">site-content.md: Concept footer: United Learning League</t>
  </si>
  <si>
    <t xml:space="preserve">SEO</t>
  </si>
  <si>
    <t xml:space="preserve">Title pattern, meta descriptions, Open Graph image, favicon, JSON-LD School schema, Google Business Profile</t>
  </si>
  <si>
    <t xml:space="preserve">site-content.md: Meta description in concept HTML</t>
  </si>
  <si>
    <t xml:space="preserve">Chat/Contact</t>
  </si>
  <si>
    <t xml:space="preserve">Floating WhatsApp (WATI) button</t>
  </si>
  <si>
    <t xml:space="preserve">Home — content map</t>
  </si>
  <si>
    <t xml:space="preserve">/</t>
  </si>
  <si>
    <t xml:space="preserve">Hero</t>
  </si>
  <si>
    <t xml:space="preserve">Headline + sub + CTAs</t>
  </si>
  <si>
    <t xml:space="preserve">Big image/video, headline, 2 CTAs</t>
  </si>
  <si>
    <t xml:space="preserve">site-content.md: 'Every lesson connects. Every child rises.' / 'Great habits. Extraordinary possibilities.' + Book a visit / Enquire</t>
  </si>
  <si>
    <t xml:space="preserve">Pick one headline (content vs concept differ)</t>
  </si>
  <si>
    <t xml:space="preserve">Hero photo or 20–30s campus video (real, not AI)</t>
  </si>
  <si>
    <t xml:space="preserve">Brand ambassador badge + quote</t>
  </si>
  <si>
    <t xml:space="preserve">site-content.md: Jonty Rhodes · Brand Ambassador</t>
  </si>
  <si>
    <t xml:space="preserve">Intro</t>
  </si>
  <si>
    <t xml:space="preserve">Welcome statement</t>
  </si>
  <si>
    <t xml:space="preserve">One paragraph: who we are, where, grades</t>
  </si>
  <si>
    <t xml:space="preserve">site-content.md: 'Welcome to ULL Auremont, a CBSE school in Nagarbhavi…' + 'The schooling you wish you'd had'</t>
  </si>
  <si>
    <t xml:space="preserve">At a glance</t>
  </si>
  <si>
    <t xml:space="preserve">US standard: 4–6 numbers (years, students, ratio, acres, sports, clubs)</t>
  </si>
  <si>
    <t xml:space="preserve">Not present</t>
  </si>
  <si>
    <t xml:space="preserve">Pillars</t>
  </si>
  <si>
    <t xml:space="preserve">Four pillars</t>
  </si>
  <si>
    <t xml:space="preserve">4 cards linking to pages</t>
  </si>
  <si>
    <t xml:space="preserve">site-content.md: Four pillars text</t>
  </si>
  <si>
    <t xml:space="preserve">4 pillar images</t>
  </si>
  <si>
    <t xml:space="preserve">Programme</t>
  </si>
  <si>
    <t xml:space="preserve">Academics teaser</t>
  </si>
  <si>
    <t xml:space="preserve">Learning Cycle summary + link</t>
  </si>
  <si>
    <t xml:space="preserve">site-content.md: Academics teaser</t>
  </si>
  <si>
    <t xml:space="preserve">Classroom photo</t>
  </si>
  <si>
    <t xml:space="preserve">Sports teaser</t>
  </si>
  <si>
    <t xml:space="preserve">Sports summary + link</t>
  </si>
  <si>
    <t xml:space="preserve">site-content.md: Sports &amp; Fitness teaser</t>
  </si>
  <si>
    <t xml:space="preserve">Sports photo</t>
  </si>
  <si>
    <t xml:space="preserve">Beyond the Classroom teaser</t>
  </si>
  <si>
    <t xml:space="preserve">Pulse · Ruchi · Kushala · Aurora Lab · Summit</t>
  </si>
  <si>
    <t xml:space="preserve">site-content.md: Teaser list</t>
  </si>
  <si>
    <t xml:space="preserve">Activity photo</t>
  </si>
  <si>
    <t xml:space="preserve">Values</t>
  </si>
  <si>
    <t xml:space="preserve">Vision + mission</t>
  </si>
  <si>
    <t xml:space="preserve">Short block</t>
  </si>
  <si>
    <t xml:space="preserve">site-content.md: Our vision / Our mission</t>
  </si>
  <si>
    <t xml:space="preserve">US standard: photo + 80-word message + link</t>
  </si>
  <si>
    <t xml:space="preserve">Social proof</t>
  </si>
  <si>
    <t xml:space="preserve">3 quotes with name and grade</t>
  </si>
  <si>
    <t xml:space="preserve">News &amp; events</t>
  </si>
  <si>
    <t xml:space="preserve">Pulls from News/Events CMS</t>
  </si>
  <si>
    <t xml:space="preserve">3–6 photos linking to gallery</t>
  </si>
  <si>
    <t xml:space="preserve">Concept uses AI visualisations</t>
  </si>
  <si>
    <t xml:space="preserve">FAQ teaser</t>
  </si>
  <si>
    <t xml:space="preserve">3 top questions</t>
  </si>
  <si>
    <t xml:space="preserve">Links to Admissions FAQ</t>
  </si>
  <si>
    <t xml:space="preserve">site-content.md: FAQ list</t>
  </si>
  <si>
    <t xml:space="preserve">CTA band</t>
  </si>
  <si>
    <t xml:space="preserve">Form link + phone</t>
  </si>
  <si>
    <t xml:space="preserve">site-content.md: 'Ready to see it for yourself?'</t>
  </si>
  <si>
    <t xml:space="preserve">Background photo</t>
  </si>
  <si>
    <t xml:space="preserve">About — content map</t>
  </si>
  <si>
    <t xml:space="preserve">/about</t>
  </si>
  <si>
    <t xml:space="preserve">Page intro</t>
  </si>
  <si>
    <t xml:space="preserve">Title, short intro, photo</t>
  </si>
  <si>
    <t xml:space="preserve">site-content.md: Brand essentials + name meaning</t>
  </si>
  <si>
    <t xml:space="preserve">Campus exterior photo</t>
  </si>
  <si>
    <t xml:space="preserve">Content</t>
  </si>
  <si>
    <t xml:space="preserve">US standard: founding year, journey, renewal as Auremont</t>
  </si>
  <si>
    <t xml:space="preserve">'Our story — To be filled in'</t>
  </si>
  <si>
    <t xml:space="preserve">The name Auremont</t>
  </si>
  <si>
    <t xml:space="preserve">Meaning of the name</t>
  </si>
  <si>
    <t xml:space="preserve">site-content.md: The name: Auremont</t>
  </si>
  <si>
    <t xml:space="preserve">Mission, Vision &amp; Values</t>
  </si>
  <si>
    <t xml:space="preserve">/about/mission</t>
  </si>
  <si>
    <t xml:space="preserve">Motto, vision, mission</t>
  </si>
  <si>
    <t xml:space="preserve">Statement blocks</t>
  </si>
  <si>
    <t xml:space="preserve">site-content.md: Our motto / vision / mission</t>
  </si>
  <si>
    <t xml:space="preserve">The Auremont Way</t>
  </si>
  <si>
    <t xml:space="preserve">5 values with one-liners</t>
  </si>
  <si>
    <t xml:space="preserve">site-content.md: Our values: the Auremont Way</t>
  </si>
  <si>
    <t xml:space="preserve">Value icons (we design)</t>
  </si>
  <si>
    <t xml:space="preserve">What Makes Us Unique</t>
  </si>
  <si>
    <t xml:space="preserve">/about/why-auremont</t>
  </si>
  <si>
    <t xml:space="preserve">9 differentiators</t>
  </si>
  <si>
    <t xml:space="preserve">Card list</t>
  </si>
  <si>
    <t xml:space="preserve">site-content.md: About Us: What makes us unique</t>
  </si>
  <si>
    <t xml:space="preserve">/about/leadership</t>
  </si>
  <si>
    <t xml:space="preserve">Photo + full message + signature</t>
  </si>
  <si>
    <t xml:space="preserve">US standard: board/trustees list</t>
  </si>
  <si>
    <t xml:space="preserve">/about/faculty</t>
  </si>
  <si>
    <t xml:space="preserve">Teaching approach</t>
  </si>
  <si>
    <t xml:space="preserve">How we support teachers, quality</t>
  </si>
  <si>
    <t xml:space="preserve">site-content.md: About Us: Our teachers</t>
  </si>
  <si>
    <t xml:space="preserve">Name, subject, qualification, photo</t>
  </si>
  <si>
    <t xml:space="preserve">'[Introduction to the principal and faculty… to be added.]'</t>
  </si>
  <si>
    <t xml:space="preserve">/about/accreditation</t>
  </si>
  <si>
    <t xml:space="preserve">US standard: accreditation page</t>
  </si>
  <si>
    <t xml:space="preserve">site-content.md: CBSE + NCF 2023 mentioned</t>
  </si>
  <si>
    <t xml:space="preserve">/about/jonty-rhodes</t>
  </si>
  <si>
    <t xml:space="preserve">Why Jonty Rhodes, his association</t>
  </si>
  <si>
    <t xml:space="preserve">site-content.md: Concept hero only</t>
  </si>
  <si>
    <t xml:space="preserve">Academics — content map</t>
  </si>
  <si>
    <t xml:space="preserve">Academics Overview</t>
  </si>
  <si>
    <t xml:space="preserve">/academics</t>
  </si>
  <si>
    <t xml:space="preserve">'Children understand before they memorise…'</t>
  </si>
  <si>
    <t xml:space="preserve">site-content.md: Academics: Our approach</t>
  </si>
  <si>
    <t xml:space="preserve">What we believe</t>
  </si>
  <si>
    <t xml:space="preserve">6 beliefs</t>
  </si>
  <si>
    <t xml:space="preserve">site-content.md: What we believe</t>
  </si>
  <si>
    <t xml:space="preserve">Curriculum &amp; framework</t>
  </si>
  <si>
    <t xml:space="preserve">CBSE + NCF 2023, four stages</t>
  </si>
  <si>
    <t xml:space="preserve">site-content.md: Our approach</t>
  </si>
  <si>
    <t xml:space="preserve">Learning Cycle</t>
  </si>
  <si>
    <t xml:space="preserve">/academics/learning-cycle</t>
  </si>
  <si>
    <t xml:space="preserve">5 steps table</t>
  </si>
  <si>
    <t xml:space="preserve">Connect, Experience, Clarify, Apply, Reflect</t>
  </si>
  <si>
    <t xml:space="preserve">site-content.md: The Auremont Learning Cycle</t>
  </si>
  <si>
    <t xml:space="preserve">Step diagram (we design)</t>
  </si>
  <si>
    <t xml:space="preserve">Indian roots + classroom look-fors</t>
  </si>
  <si>
    <t xml:space="preserve">Lens not a subject; what you'll see</t>
  </si>
  <si>
    <t xml:space="preserve">site-content.md: Indian roots / In every classroom / Every learner</t>
  </si>
  <si>
    <t xml:space="preserve">Foundational Stage</t>
  </si>
  <si>
    <t xml:space="preserve">/academics/foundational</t>
  </si>
  <si>
    <t xml:space="preserve">Nursery–Grade 2 full page</t>
  </si>
  <si>
    <t xml:space="preserve">Areas, what they learn, a day, outcomes, Indian roots, progress</t>
  </si>
  <si>
    <t xml:space="preserve">site-content.md: Academics: Foundational Stage</t>
  </si>
  <si>
    <t xml:space="preserve">Confirm entry ages for Nursery, LKG, UKG</t>
  </si>
  <si>
    <t xml:space="preserve">Early-years photos</t>
  </si>
  <si>
    <t xml:space="preserve">Preparatory Stage</t>
  </si>
  <si>
    <t xml:space="preserve">/academics/preparatory</t>
  </si>
  <si>
    <t xml:space="preserve">Grades 3–5 full page</t>
  </si>
  <si>
    <t xml:space="preserve">Subjects table, classroom, outcomes, roots, progress</t>
  </si>
  <si>
    <t xml:space="preserve">site-content.md: Academics: Preparatory Stage</t>
  </si>
  <si>
    <t xml:space="preserve">Middle Stage</t>
  </si>
  <si>
    <t xml:space="preserve">/academics/middle</t>
  </si>
  <si>
    <t xml:space="preserve">Grades 6–8 full page</t>
  </si>
  <si>
    <t xml:space="preserve">site-content.md: Academics: Middle Stage</t>
  </si>
  <si>
    <t xml:space="preserve">Secondary Stage</t>
  </si>
  <si>
    <t xml:space="preserve">/academics/secondary</t>
  </si>
  <si>
    <t xml:space="preserve">Grades 9–10 full page</t>
  </si>
  <si>
    <t xml:space="preserve">Subjects, board prep, outcomes, beyond the exam</t>
  </si>
  <si>
    <t xml:space="preserve">site-content.md: Academics: Secondary Stage</t>
  </si>
  <si>
    <t xml:space="preserve">Confirm the CBSE skill subject offered</t>
  </si>
  <si>
    <t xml:space="preserve">Assessment &amp; Progress</t>
  </si>
  <si>
    <t xml:space="preserve">/academics/assessment</t>
  </si>
  <si>
    <t xml:space="preserve">Assessment by stage + report card</t>
  </si>
  <si>
    <t xml:space="preserve">Table + whole-child report</t>
  </si>
  <si>
    <t xml:space="preserve">site-content.md: Academics: Assessment and progress</t>
  </si>
  <si>
    <t xml:space="preserve">Sample report card (optional)</t>
  </si>
  <si>
    <t xml:space="preserve">/academics/calendar</t>
  </si>
  <si>
    <t xml:space="preserve">US standard: term dates, holidays, exams, PTMs</t>
  </si>
  <si>
    <t xml:space="preserve">/academics/library</t>
  </si>
  <si>
    <t xml:space="preserve">US standard: library page</t>
  </si>
  <si>
    <t xml:space="preserve">Only 'reading corners' mentioned</t>
  </si>
  <si>
    <t xml:space="preserve">/academics/results</t>
  </si>
  <si>
    <t xml:space="preserve">US standard: outcomes page</t>
  </si>
  <si>
    <t xml:space="preserve">Student Life — content map</t>
  </si>
  <si>
    <t xml:space="preserve">/student-life/sports</t>
  </si>
  <si>
    <t xml:space="preserve">'Fit body. Sharp mind. Strong character.'</t>
  </si>
  <si>
    <t xml:space="preserve">site-content.md: Sports &amp; Fitness</t>
  </si>
  <si>
    <t xml:space="preserve">Action sports photo</t>
  </si>
  <si>
    <t xml:space="preserve">Sports promise</t>
  </si>
  <si>
    <t xml:space="preserve">Plays, measured, competes, excels</t>
  </si>
  <si>
    <t xml:space="preserve">site-content.md: Our sports promise</t>
  </si>
  <si>
    <t xml:space="preserve">Programme by stage</t>
  </si>
  <si>
    <t xml:space="preserve">Table by stage</t>
  </si>
  <si>
    <t xml:space="preserve">site-content.md: A programme that grows with your child</t>
  </si>
  <si>
    <t xml:space="preserve">11 sports + where they're played</t>
  </si>
  <si>
    <t xml:space="preserve">site-content.md: Sports list; courtyard concept (2 badminton, 1 volleyball)</t>
  </si>
  <si>
    <t xml:space="preserve">US standard: house names/colours</t>
  </si>
  <si>
    <t xml:space="preserve">Houses mentioned, not named</t>
  </si>
  <si>
    <t xml:space="preserve">Sports calendar + Indian roots</t>
  </si>
  <si>
    <t xml:space="preserve">Events and traditional games</t>
  </si>
  <si>
    <t xml:space="preserve">site-content.md: The sports calendar / Indian roots on the field</t>
  </si>
  <si>
    <t xml:space="preserve">Pulse</t>
  </si>
  <si>
    <t xml:space="preserve">/student-life/pulse</t>
  </si>
  <si>
    <t xml:space="preserve">Weekly skill programme</t>
  </si>
  <si>
    <t xml:space="preserve">Skill families, examples, monthly theme</t>
  </si>
  <si>
    <t xml:space="preserve">site-content.md: Pulse: the heart of our week</t>
  </si>
  <si>
    <t xml:space="preserve">Ruchi</t>
  </si>
  <si>
    <t xml:space="preserve">/student-life/ruchi</t>
  </si>
  <si>
    <t xml:space="preserve">Hobby hour</t>
  </si>
  <si>
    <t xml:space="preserve">Hobby groups by type</t>
  </si>
  <si>
    <t xml:space="preserve">site-content.md: Ruchi: hobby hour</t>
  </si>
  <si>
    <t xml:space="preserve">Confirm which hobbies run in year 1</t>
  </si>
  <si>
    <t xml:space="preserve">Kushala</t>
  </si>
  <si>
    <t xml:space="preserve">/student-life/kushala</t>
  </si>
  <si>
    <t xml:space="preserve">Life skills</t>
  </si>
  <si>
    <t xml:space="preserve">Monthly skill, examples</t>
  </si>
  <si>
    <t xml:space="preserve">site-content.md: Kushala: life skills</t>
  </si>
  <si>
    <t xml:space="preserve">Sample practice card</t>
  </si>
  <si>
    <t xml:space="preserve">Aurora Lab &amp; Robotics</t>
  </si>
  <si>
    <t xml:space="preserve">/student-life/aurora-lab</t>
  </si>
  <si>
    <t xml:space="preserve">Science lab, robotics, computing</t>
  </si>
  <si>
    <t xml:space="preserve">3 blocks</t>
  </si>
  <si>
    <t xml:space="preserve">site-content.md: Aurora Lab, robotics and computing</t>
  </si>
  <si>
    <t xml:space="preserve">Lab photos</t>
  </si>
  <si>
    <t xml:space="preserve">Summit Pathway</t>
  </si>
  <si>
    <t xml:space="preserve">/student-life/summit</t>
  </si>
  <si>
    <t xml:space="preserve">Olympiads, debate, careers</t>
  </si>
  <si>
    <t xml:space="preserve">Programme detail</t>
  </si>
  <si>
    <t xml:space="preserve">site-content.md: Summit Pathway</t>
  </si>
  <si>
    <t xml:space="preserve">/student-life/events</t>
  </si>
  <si>
    <t xml:space="preserve">US standard: Annual Day, Sports Meet, Showcases, trips</t>
  </si>
  <si>
    <t xml:space="preserve">site-content.md: Term Showcase, Sports Meet, Fitness Week</t>
  </si>
  <si>
    <t xml:space="preserve">Admissions — content map</t>
  </si>
  <si>
    <t xml:space="preserve">/admissions</t>
  </si>
  <si>
    <t xml:space="preserve">Year, grades, CTA</t>
  </si>
  <si>
    <t xml:space="preserve">site-content.md: 'Admissions open, Nursery to Grade 10.'</t>
  </si>
  <si>
    <t xml:space="preserve">Why choose Auremont</t>
  </si>
  <si>
    <t xml:space="preserve">Short reasons + link</t>
  </si>
  <si>
    <t xml:space="preserve">site-content.md: What makes us unique</t>
  </si>
  <si>
    <t xml:space="preserve">/admissions/process</t>
  </si>
  <si>
    <t xml:space="preserve">Enquire, Visit, Meet, Confirm, Orientation</t>
  </si>
  <si>
    <t xml:space="preserve">site-content.md: Admissions steps 1–5</t>
  </si>
  <si>
    <t xml:space="preserve">US standard: age cut-off per grade</t>
  </si>
  <si>
    <t xml:space="preserve">Checklist</t>
  </si>
  <si>
    <t xml:space="preserve">'complete documents' only</t>
  </si>
  <si>
    <t xml:space="preserve">/admissions/dates</t>
  </si>
  <si>
    <t xml:space="preserve">Open, visit days, interaction, offers, orientation</t>
  </si>
  <si>
    <t xml:space="preserve">/admissions/fees</t>
  </si>
  <si>
    <t xml:space="preserve">US standard: tuition page (or 'contact us' note)</t>
  </si>
  <si>
    <t xml:space="preserve">Policy summary</t>
  </si>
  <si>
    <t xml:space="preserve">/admissions/visit</t>
  </si>
  <si>
    <t xml:space="preserve">Form</t>
  </si>
  <si>
    <t xml:space="preserve">Visit form → Admissions Desk; slot picker</t>
  </si>
  <si>
    <t xml:space="preserve">site-content.md: Enquiry form fields + preferred visit date</t>
  </si>
  <si>
    <t xml:space="preserve">Enquire</t>
  </si>
  <si>
    <t xml:space="preserve">/admissions/enquire</t>
  </si>
  <si>
    <t xml:space="preserve">Enquiry form</t>
  </si>
  <si>
    <t xml:space="preserve">Parent name, phone, email, child's name, grade, current school, visit date, family priority</t>
  </si>
  <si>
    <t xml:space="preserve">site-content.md: Enquiry form (concept adds 'Family priority')</t>
  </si>
  <si>
    <t xml:space="preserve">Confirm 'Family priority' options and add 'How did you hear about us?' options</t>
  </si>
  <si>
    <t xml:space="preserve">/apply</t>
  </si>
  <si>
    <t xml:space="preserve">Register once, apply per child</t>
  </si>
  <si>
    <t xml:space="preserve">Not present (new)</t>
  </si>
  <si>
    <t xml:space="preserve">/admissions/faq</t>
  </si>
  <si>
    <t xml:space="preserve">11+ Q&amp;As</t>
  </si>
  <si>
    <t xml:space="preserve">site-content.md: Frequently asked questions (11 Qs)</t>
  </si>
  <si>
    <t xml:space="preserve">/admissions/contact</t>
  </si>
  <si>
    <t xml:space="preserve">Counsellor name, phone, WhatsApp, hours</t>
  </si>
  <si>
    <t xml:space="preserve">Campus — content map</t>
  </si>
  <si>
    <t xml:space="preserve">/campus</t>
  </si>
  <si>
    <t xml:space="preserve">Summary + map</t>
  </si>
  <si>
    <t xml:space="preserve">site-content.md: 'Facilities · Gallery · Transport'</t>
  </si>
  <si>
    <t xml:space="preserve">/campus/facilities</t>
  </si>
  <si>
    <t xml:space="preserve">Classrooms, Aurora Lab, science, computer &amp; robotics lab, library, sports, art/music/dance rooms, infirmary</t>
  </si>
  <si>
    <t xml:space="preserve">'[To be completed once the facility list is confirmed…]'</t>
  </si>
  <si>
    <t xml:space="preserve">/campus/tour</t>
  </si>
  <si>
    <t xml:space="preserve">Slide tour or 360°/video</t>
  </si>
  <si>
    <t xml:space="preserve">Concept tour slides (AI visualisations)</t>
  </si>
  <si>
    <t xml:space="preserve">/campus/gallery</t>
  </si>
  <si>
    <t xml:space="preserve">Categories: classrooms, sport, arts, events</t>
  </si>
  <si>
    <t xml:space="preserve">Concept gallery with filters (AI images)</t>
  </si>
  <si>
    <t xml:space="preserve">/campus/safety</t>
  </si>
  <si>
    <t xml:space="preserve">US standard: CCTV, visitor management, staff checks, POCSO, fire safety</t>
  </si>
  <si>
    <t xml:space="preserve">/campus/health</t>
  </si>
  <si>
    <t xml:space="preserve">Nurse, doctor on call, counsellor</t>
  </si>
  <si>
    <t xml:space="preserve">'infirmary' suggested only</t>
  </si>
  <si>
    <t xml:space="preserve">/campus/transport</t>
  </si>
  <si>
    <t xml:space="preserve">Routes, GPS, attendants, fees</t>
  </si>
  <si>
    <t xml:space="preserve">'Transport' heading only</t>
  </si>
  <si>
    <t xml:space="preserve">/campus/meals</t>
  </si>
  <si>
    <t xml:space="preserve">Menu, kitchen, dietary policy</t>
  </si>
  <si>
    <t xml:space="preserve">Concept image 'kitchen-dining-space'</t>
  </si>
  <si>
    <t xml:space="preserve">/campus/location</t>
  </si>
  <si>
    <t xml:space="preserve">Google Map embed, landmarks</t>
  </si>
  <si>
    <t xml:space="preserve">site-content.md: Nagarbhavi, Bengaluru</t>
  </si>
  <si>
    <t xml:space="preserve">Parents — content map</t>
  </si>
  <si>
    <t xml:space="preserve">Parents Overview</t>
  </si>
  <si>
    <t xml:space="preserve">/parents</t>
  </si>
  <si>
    <t xml:space="preserve">Partnering with parents</t>
  </si>
  <si>
    <t xml:space="preserve">Pulse notes, Kushala cards, showcase, fitness card, PTMs</t>
  </si>
  <si>
    <t xml:space="preserve">site-content.md: Parents: Partnering with parents</t>
  </si>
  <si>
    <t xml:space="preserve">Parent photo</t>
  </si>
  <si>
    <t xml:space="preserve">A week at ULL Auremont</t>
  </si>
  <si>
    <t xml:space="preserve">Day-by-day story</t>
  </si>
  <si>
    <t xml:space="preserve">site-content.md: A week at ULL Auremont (Anika)</t>
  </si>
  <si>
    <t xml:space="preserve">Illustrations/photos</t>
  </si>
  <si>
    <t xml:space="preserve">/parents/school-day</t>
  </si>
  <si>
    <t xml:space="preserve">US standard: daily schedule by stage</t>
  </si>
  <si>
    <t xml:space="preserve">/parents/uniform</t>
  </si>
  <si>
    <t xml:space="preserve">Uniform per stage, supplier</t>
  </si>
  <si>
    <t xml:space="preserve">Concept mentions proposed navy uniform</t>
  </si>
  <si>
    <t xml:space="preserve">/parents/policies</t>
  </si>
  <si>
    <t xml:space="preserve">Attendance, homework, devices, behaviour, leave</t>
  </si>
  <si>
    <t xml:space="preserve">/parents/calendar</t>
  </si>
  <si>
    <t xml:space="preserve">Links to calendar, monthly Pulse notes</t>
  </si>
  <si>
    <t xml:space="preserve">Parent Portal</t>
  </si>
  <si>
    <t xml:space="preserve">/portal</t>
  </si>
  <si>
    <t xml:space="preserve">Login entry</t>
  </si>
  <si>
    <t xml:space="preserve">Login / register link and what parents can do</t>
  </si>
  <si>
    <t xml:space="preserve">News &amp; Events — content map</t>
  </si>
  <si>
    <t xml:space="preserve">/news</t>
  </si>
  <si>
    <t xml:space="preserve">Listing</t>
  </si>
  <si>
    <t xml:space="preserve">Title, date, image, body, tags</t>
  </si>
  <si>
    <t xml:space="preserve">/events</t>
  </si>
  <si>
    <t xml:space="preserve">Date, time, venue, register button</t>
  </si>
  <si>
    <t xml:space="preserve">/resources</t>
  </si>
  <si>
    <t xml:space="preserve">US standard: thought-leadership; drives Google traffic</t>
  </si>
  <si>
    <t xml:space="preserve">Contact &amp; Careers — content map</t>
  </si>
  <si>
    <t xml:space="preserve">/contact</t>
  </si>
  <si>
    <t xml:space="preserve">Address, phones, email, hours, map, form</t>
  </si>
  <si>
    <t xml:space="preserve">Placeholders only</t>
  </si>
  <si>
    <t xml:space="preserve">General enquiry form</t>
  </si>
  <si>
    <t xml:space="preserve">Name, phone, email, topic, message</t>
  </si>
  <si>
    <t xml:space="preserve">/careers</t>
  </si>
  <si>
    <t xml:space="preserve">US standard: careers page, job listings</t>
  </si>
  <si>
    <t xml:space="preserve">site-content.md: Teacher-support text in Our teachers</t>
  </si>
  <si>
    <t xml:space="preserve">/alumni</t>
  </si>
  <si>
    <t xml:space="preserve">US standard (optional for launch)</t>
  </si>
  <si>
    <t xml:space="preserve">Legal &amp; Compliance — content map</t>
  </si>
  <si>
    <t xml:space="preserve">/mandatory-disclosure</t>
  </si>
  <si>
    <t xml:space="preserve">Required by CBSE: affiliation, trust, infrastructure, staff, results, fee, SMC, PTA</t>
  </si>
  <si>
    <t xml:space="preserve">/privacy</t>
  </si>
  <si>
    <t xml:space="preserve">How enquiry/portal/visitor data is used (DPDP Act 2023)</t>
  </si>
  <si>
    <t xml:space="preserve">/terms</t>
  </si>
  <si>
    <t xml:space="preserve">Standard terms</t>
  </si>
  <si>
    <t xml:space="preserve">/safeguarding</t>
  </si>
  <si>
    <t xml:space="preserve">US standard: child protection statement</t>
  </si>
  <si>
    <t xml:space="preserve">Accessibility</t>
  </si>
  <si>
    <t xml:space="preserve">/accessibility</t>
  </si>
  <si>
    <t xml:space="preserve">Accessibility statement</t>
  </si>
  <si>
    <t xml:space="preserve">WCAG commitment</t>
  </si>
  <si>
    <t xml:space="preserve">We draft; approve</t>
  </si>
  <si>
    <t xml:space="preserve">Image disclaimer</t>
  </si>
  <si>
    <t xml:space="preserve">(gallery)</t>
  </si>
  <si>
    <t xml:space="preserve">Concept image note</t>
  </si>
  <si>
    <t xml:space="preserve">Label AI visualisations until real photos</t>
  </si>
  <si>
    <t xml:space="preserve">site-content.md: 'Campus design visualisations · AI-generated imagery'</t>
  </si>
  <si>
    <t xml:space="preserve">Remove once real photos are in</t>
  </si>
  <si>
    <t xml:space="preserve">Portal — content map</t>
  </si>
  <si>
    <t xml:space="preserve">Register / Login</t>
  </si>
  <si>
    <t xml:space="preserve">/portal/login</t>
  </si>
  <si>
    <t xml:space="preserve">Parent registration</t>
  </si>
  <si>
    <t xml:space="preserve">Name, mobile (OTP), email, password; register once</t>
  </si>
  <si>
    <t xml:space="preserve">Confirm login by mobile OTP + email</t>
  </si>
  <si>
    <t xml:space="preserve">Dashboard</t>
  </si>
  <si>
    <t xml:space="preserve">Family dashboard</t>
  </si>
  <si>
    <t xml:space="preserve">Children, applications, visit bookings, messages</t>
  </si>
  <si>
    <t xml:space="preserve">/portal/children</t>
  </si>
  <si>
    <t xml:space="preserve">Name, DOB, gender, current school, grade, photo</t>
  </si>
  <si>
    <t xml:space="preserve">/portal/apply</t>
  </si>
  <si>
    <t xml:space="preserve">Child + parent details, address, previous school, sibling, medical/special needs, declaration</t>
  </si>
  <si>
    <t xml:space="preserve">/portal/documents</t>
  </si>
  <si>
    <t xml:space="preserve">Upload per required document</t>
  </si>
  <si>
    <t xml:space="preserve">Application Status</t>
  </si>
  <si>
    <t xml:space="preserve">/portal/status</t>
  </si>
  <si>
    <t xml:space="preserve">Status tracker</t>
  </si>
  <si>
    <t xml:space="preserve">Enquired → Visit booked → Visited → Interaction → Documents → Confirmed → Orientation</t>
  </si>
  <si>
    <t xml:space="preserve">site-content.md: Admissions 5 steps</t>
  </si>
  <si>
    <t xml:space="preserve">Confirm stage names parents should see</t>
  </si>
  <si>
    <t xml:space="preserve">/portal/messages</t>
  </si>
  <si>
    <t xml:space="preserve">Email (SES), SMS (Gupshup), WhatsApp (WATI) per stage</t>
  </si>
  <si>
    <t xml:space="preserve">(VMS)</t>
  </si>
  <si>
    <t xml:space="preserve">Pass email/WhatsApp, check-in screen, host alert</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</si>
</sst>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color rgb="FF123A69"/>
      <name val="Arial"/>
      <family val="0"/>
      <charset val="1"/>
    </font>
    <font>
      <b val="true"/>
      <sz val="10"/>
      <name val="Arial"/>
      <family val="0"/>
      <charset val="1"/>
    </font>
    <font>
      <sz val="10"/>
      <name val="Arial"/>
      <family val="0"/>
      <charset val="1"/>
    </font>
    <font>
      <i val="true"/>
      <sz val="9"/>
      <color rgb="FF595959"/>
      <name val="Arial"/>
      <family val="0"/>
      <charset val="1"/>
    </font>
    <font>
      <b val="true"/>
      <sz val="10"/>
      <color rgb="FFFFFFFF"/>
      <name val="Arial"/>
      <family val="0"/>
      <charset val="1"/>
    </font>
    <font>
      <u val="single"/>
      <sz val="10"/>
      <color rgb="FF0563C1"/>
      <name val="Arial"/>
      <family val="0"/>
      <charset val="1"/>
    </font>
  </fonts>
  <fills count="6">
    <fill>
      <patternFill patternType="none"/>
    </fill>
    <fill>
      <patternFill patternType="gray125"/>
    </fill>
    <fill>
      <patternFill patternType="solid">
        <fgColor rgb="FFC6EFCE"/>
        <bgColor rgb="FFD9D9D9"/>
      </patternFill>
    </fill>
    <fill>
      <patternFill patternType="solid">
        <fgColor rgb="FFFFE699"/>
        <bgColor rgb="FFF8CBAD"/>
      </patternFill>
    </fill>
    <fill>
      <patternFill patternType="solid">
        <fgColor rgb="FFF8CBAD"/>
        <bgColor rgb="FFFFE699"/>
      </patternFill>
    </fill>
    <fill>
      <patternFill patternType="solid">
        <fgColor rgb="FF123A69"/>
        <bgColor rgb="FF3333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23A69"/>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FFFFFF"/>
          <bgColor rgb="FF000000"/>
        </patternFill>
      </fill>
    </dxf>
    <dxf>
      <fill>
        <patternFill patternType="solid">
          <bgColor rgb="FF000000"/>
        </patternFill>
      </fill>
    </dxf>
    <dxf>
      <fill>
        <patternFill>
          <bgColor rgb="FFF8CBAD"/>
        </patternFill>
      </fill>
    </dxf>
    <dxf>
      <fill>
        <patternFill>
          <bgColor rgb="FFFFE699"/>
        </patternFill>
      </fill>
    </dxf>
    <dxf>
      <fill>
        <patternFill patternType="solid">
          <fgColor rgb="FFC6EFCE"/>
          <bgColor rgb="FF000000"/>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23A6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p.xlsx" TargetMode="External"/><Relationship Id="rId2" Type="http://schemas.openxmlformats.org/officeDocument/2006/relationships/hyperlink" Target="map.xlsx" TargetMode="External"/><Relationship Id="rId3" Type="http://schemas.openxmlformats.org/officeDocument/2006/relationships/hyperlink" Target="map.xlsx" TargetMode="External"/><Relationship Id="rId4" Type="http://schemas.openxmlformats.org/officeDocument/2006/relationships/hyperlink" Target="map.xlsx" TargetMode="External"/><Relationship Id="rId5" Type="http://schemas.openxmlformats.org/officeDocument/2006/relationships/hyperlink" Target="map.xlsx" TargetMode="External"/><Relationship Id="rId6" Type="http://schemas.openxmlformats.org/officeDocument/2006/relationships/hyperlink" Target="map.xlsx" TargetMode="External"/><Relationship Id="rId7" Type="http://schemas.openxmlformats.org/officeDocument/2006/relationships/hyperlink" Target="map.xlsx" TargetMode="External"/><Relationship Id="rId8" Type="http://schemas.openxmlformats.org/officeDocument/2006/relationships/hyperlink" Target="map.xlsx" TargetMode="External"/><Relationship Id="rId9" Type="http://schemas.openxmlformats.org/officeDocument/2006/relationships/hyperlink" Target="map.xlsx" TargetMode="External"/><Relationship Id="rId10" Type="http://schemas.openxmlformats.org/officeDocument/2006/relationships/hyperlink" Target="map.xlsx" TargetMode="External"/><Relationship Id="rId11" Type="http://schemas.openxmlformats.org/officeDocument/2006/relationships/hyperlink" Target="map.xlsx" TargetMode="External"/><Relationship Id="rId12" Type="http://schemas.openxmlformats.org/officeDocument/2006/relationships/hyperlink" Target="map.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5"/>
  </cols>
  <sheetData>
    <row r="1" customFormat="false" ht="17.35" hidden="false" customHeight="false" outlineLevel="0" collapsed="false">
      <c r="A1" s="1" t="s">
        <v>0</v>
      </c>
    </row>
    <row r="3" customFormat="false" ht="23.85" hidden="false" customHeight="false" outlineLevel="0" collapsed="false">
      <c r="A3" s="2" t="s">
        <v>1</v>
      </c>
      <c r="B3" s="3" t="s">
        <v>2</v>
      </c>
    </row>
    <row r="5" customFormat="false" ht="23.85" hidden="false" customHeight="false" outlineLevel="0" collapsed="false">
      <c r="A5" s="2" t="s">
        <v>3</v>
      </c>
      <c r="B5" s="3" t="s">
        <v>4</v>
      </c>
    </row>
    <row r="7" customFormat="false" ht="23.85" hidden="false" customHeight="false" outlineLevel="0" collapsed="false">
      <c r="A7" s="2" t="s">
        <v>5</v>
      </c>
      <c r="B7" s="3" t="s">
        <v>6</v>
      </c>
    </row>
    <row r="9" customFormat="false" ht="23.85" hidden="false" customHeight="false" outlineLevel="0" collapsed="false">
      <c r="A9" s="2" t="s">
        <v>7</v>
      </c>
      <c r="B9" s="3" t="s">
        <v>8</v>
      </c>
    </row>
    <row r="11" customFormat="false" ht="15" hidden="false" customHeight="false" outlineLevel="0" collapsed="false">
      <c r="A11" s="2" t="s">
        <v>9</v>
      </c>
      <c r="B11" s="3" t="s">
        <v>10</v>
      </c>
    </row>
    <row r="13" customFormat="false" ht="23.85" hidden="false" customHeight="false" outlineLevel="0" collapsed="false">
      <c r="A13" s="2" t="s">
        <v>11</v>
      </c>
      <c r="B13" s="3" t="s">
        <v>12</v>
      </c>
    </row>
    <row r="15" customFormat="false" ht="15" hidden="false" customHeight="false" outlineLevel="0" collapsed="false">
      <c r="A15" s="2" t="s">
        <v>13</v>
      </c>
      <c r="B15" s="3" t="s">
        <v>14</v>
      </c>
    </row>
    <row r="18" customFormat="false" ht="15" hidden="false" customHeight="false" outlineLevel="0" collapsed="false">
      <c r="A18" s="4" t="s">
        <v>15</v>
      </c>
    </row>
    <row r="19" customFormat="false" ht="15" hidden="false" customHeight="false" outlineLevel="0" collapsed="false">
      <c r="A19" s="5" t="s">
        <v>16</v>
      </c>
    </row>
    <row r="20" customFormat="false" ht="15" hidden="false" customHeight="false" outlineLevel="0" collapsed="false">
      <c r="A20" s="6"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7" min="3" style="0" width="10"/>
  </cols>
  <sheetData>
    <row r="1" customFormat="false" ht="17.35" hidden="false" customHeight="false" outlineLevel="0" collapsed="false">
      <c r="A1" s="1" t="s">
        <v>18</v>
      </c>
    </row>
    <row r="2" customFormat="false" ht="15" hidden="false" customHeight="false" outlineLevel="0" collapsed="false">
      <c r="A2" s="7" t="s">
        <v>19</v>
      </c>
    </row>
    <row r="4" customFormat="false" ht="15" hidden="false" customHeight="false" outlineLevel="0" collapsed="false">
      <c r="A4" s="8" t="s">
        <v>20</v>
      </c>
      <c r="B4" s="8" t="s">
        <v>21</v>
      </c>
      <c r="C4" s="8" t="s">
        <v>22</v>
      </c>
      <c r="D4" s="8" t="s">
        <v>15</v>
      </c>
      <c r="E4" s="8" t="s">
        <v>16</v>
      </c>
      <c r="F4" s="8" t="s">
        <v>17</v>
      </c>
      <c r="G4" s="8" t="s">
        <v>23</v>
      </c>
    </row>
    <row r="5" customFormat="false" ht="15" hidden="false" customHeight="false" outlineLevel="0" collapsed="false">
      <c r="A5" s="9" t="s">
        <v>24</v>
      </c>
      <c r="B5" s="10" t="s">
        <v>25</v>
      </c>
      <c r="C5" s="10" t="n">
        <f aca="false">COUNTA(Global!$H$5:$H$15)</f>
        <v>11</v>
      </c>
      <c r="D5" s="10" t="n">
        <f aca="false">COUNTIF(Global!$H$5:$H$15,"Ready")</f>
        <v>3</v>
      </c>
      <c r="E5" s="10" t="n">
        <f aca="false">COUNTIF(Global!$H$5:$H$15,"Partial")</f>
        <v>4</v>
      </c>
      <c r="F5" s="10" t="n">
        <f aca="false">COUNTIF(Global!$H$5:$H$15,"Missing")</f>
        <v>4</v>
      </c>
      <c r="G5" s="11" t="n">
        <f aca="false">IF(C5=0,0,D5/C5)</f>
        <v>0.272727272727273</v>
      </c>
    </row>
    <row r="6" customFormat="false" ht="15" hidden="false" customHeight="false" outlineLevel="0" collapsed="false">
      <c r="A6" s="9" t="s">
        <v>26</v>
      </c>
      <c r="B6" s="10" t="s">
        <v>26</v>
      </c>
      <c r="C6" s="10" t="n">
        <f aca="false">COUNTA(Home!$H$5:$H$19)</f>
        <v>15</v>
      </c>
      <c r="D6" s="10" t="n">
        <f aca="false">COUNTIF(Home!$H$5:$H$19,"Ready")</f>
        <v>9</v>
      </c>
      <c r="E6" s="10" t="n">
        <f aca="false">COUNTIF(Home!$H$5:$H$19,"Partial")</f>
        <v>2</v>
      </c>
      <c r="F6" s="10" t="n">
        <f aca="false">COUNTIF(Home!$H$5:$H$19,"Missing")</f>
        <v>4</v>
      </c>
      <c r="G6" s="11" t="n">
        <f aca="false">IF(C6=0,0,D6/C6)</f>
        <v>0.6</v>
      </c>
    </row>
    <row r="7" customFormat="false" ht="23.85" hidden="false" customHeight="false" outlineLevel="0" collapsed="false">
      <c r="A7" s="9" t="s">
        <v>27</v>
      </c>
      <c r="B7" s="10" t="s">
        <v>28</v>
      </c>
      <c r="C7" s="10" t="n">
        <f aca="false">COUNTA(About!$H$5:$H$16)</f>
        <v>12</v>
      </c>
      <c r="D7" s="10" t="n">
        <f aca="false">COUNTIF(About!$H$5:$H$16,"Ready")</f>
        <v>6</v>
      </c>
      <c r="E7" s="10" t="n">
        <f aca="false">COUNTIF(About!$H$5:$H$16,"Partial")</f>
        <v>2</v>
      </c>
      <c r="F7" s="10" t="n">
        <f aca="false">COUNTIF(About!$H$5:$H$16,"Missing")</f>
        <v>4</v>
      </c>
      <c r="G7" s="11" t="n">
        <f aca="false">IF(C7=0,0,D7/C7)</f>
        <v>0.5</v>
      </c>
    </row>
    <row r="8" customFormat="false" ht="35.05" hidden="false" customHeight="false" outlineLevel="0" collapsed="false">
      <c r="A8" s="9" t="s">
        <v>29</v>
      </c>
      <c r="B8" s="10" t="s">
        <v>30</v>
      </c>
      <c r="C8" s="10" t="n">
        <f aca="false">COUNTA(Academics!$H$5:$H$17)</f>
        <v>13</v>
      </c>
      <c r="D8" s="10" t="n">
        <f aca="false">COUNTIF(Academics!$H$5:$H$17,"Ready")</f>
        <v>10</v>
      </c>
      <c r="E8" s="10" t="n">
        <f aca="false">COUNTIF(Academics!$H$5:$H$17,"Partial")</f>
        <v>0</v>
      </c>
      <c r="F8" s="10" t="n">
        <f aca="false">COUNTIF(Academics!$H$5:$H$17,"Missing")</f>
        <v>3</v>
      </c>
      <c r="G8" s="11" t="n">
        <f aca="false">IF(C8=0,0,D8/C8)</f>
        <v>0.769230769230769</v>
      </c>
    </row>
    <row r="9" customFormat="false" ht="23.85" hidden="false" customHeight="false" outlineLevel="0" collapsed="false">
      <c r="A9" s="9" t="s">
        <v>31</v>
      </c>
      <c r="B9" s="10" t="s">
        <v>32</v>
      </c>
      <c r="C9" s="10" t="n">
        <f aca="false">COUNTA('Student Life'!$H$5:$H$16)</f>
        <v>12</v>
      </c>
      <c r="D9" s="10" t="n">
        <f aca="false">COUNTIF('Student Life'!$H$5:$H$16,"Ready")</f>
        <v>9</v>
      </c>
      <c r="E9" s="10" t="n">
        <f aca="false">COUNTIF('Student Life'!$H$5:$H$16,"Partial")</f>
        <v>2</v>
      </c>
      <c r="F9" s="10" t="n">
        <f aca="false">COUNTIF('Student Life'!$H$5:$H$16,"Missing")</f>
        <v>1</v>
      </c>
      <c r="G9" s="11" t="n">
        <f aca="false">IF(C9=0,0,D9/C9)</f>
        <v>0.75</v>
      </c>
    </row>
    <row r="10" customFormat="false" ht="23.85" hidden="false" customHeight="false" outlineLevel="0" collapsed="false">
      <c r="A10" s="9" t="s">
        <v>33</v>
      </c>
      <c r="B10" s="10" t="s">
        <v>34</v>
      </c>
      <c r="C10" s="10" t="n">
        <f aca="false">COUNTA(Admissions!$H$5:$H$17)</f>
        <v>13</v>
      </c>
      <c r="D10" s="10" t="n">
        <f aca="false">COUNTIF(Admissions!$H$5:$H$17,"Ready")</f>
        <v>2</v>
      </c>
      <c r="E10" s="10" t="n">
        <f aca="false">COUNTIF(Admissions!$H$5:$H$17,"Partial")</f>
        <v>5</v>
      </c>
      <c r="F10" s="10" t="n">
        <f aca="false">COUNTIF(Admissions!$H$5:$H$17,"Missing")</f>
        <v>6</v>
      </c>
      <c r="G10" s="11" t="n">
        <f aca="false">IF(C10=0,0,D10/C10)</f>
        <v>0.153846153846154</v>
      </c>
    </row>
    <row r="11" customFormat="false" ht="23.85" hidden="false" customHeight="false" outlineLevel="0" collapsed="false">
      <c r="A11" s="9" t="s">
        <v>35</v>
      </c>
      <c r="B11" s="10" t="s">
        <v>36</v>
      </c>
      <c r="C11" s="10" t="n">
        <f aca="false">COUNTA(Campus!$H$5:$H$13)</f>
        <v>9</v>
      </c>
      <c r="D11" s="10" t="n">
        <f aca="false">COUNTIF(Campus!$H$5:$H$13,"Ready")</f>
        <v>0</v>
      </c>
      <c r="E11" s="10" t="n">
        <f aca="false">COUNTIF(Campus!$H$5:$H$13,"Partial")</f>
        <v>2</v>
      </c>
      <c r="F11" s="10" t="n">
        <f aca="false">COUNTIF(Campus!$H$5:$H$13,"Missing")</f>
        <v>7</v>
      </c>
      <c r="G11" s="11" t="n">
        <f aca="false">IF(C11=0,0,D11/C11)</f>
        <v>0</v>
      </c>
    </row>
    <row r="12" customFormat="false" ht="23.85" hidden="false" customHeight="false" outlineLevel="0" collapsed="false">
      <c r="A12" s="9" t="s">
        <v>37</v>
      </c>
      <c r="B12" s="10" t="s">
        <v>38</v>
      </c>
      <c r="C12" s="10" t="n">
        <f aca="false">COUNTA(Parents!$H$5:$H$11)</f>
        <v>7</v>
      </c>
      <c r="D12" s="10" t="n">
        <f aca="false">COUNTIF(Parents!$H$5:$H$11,"Ready")</f>
        <v>3</v>
      </c>
      <c r="E12" s="10" t="n">
        <f aca="false">COUNTIF(Parents!$H$5:$H$11,"Partial")</f>
        <v>0</v>
      </c>
      <c r="F12" s="10" t="n">
        <f aca="false">COUNTIF(Parents!$H$5:$H$11,"Missing")</f>
        <v>4</v>
      </c>
      <c r="G12" s="11" t="n">
        <f aca="false">IF(C12=0,0,D12/C12)</f>
        <v>0.428571428571429</v>
      </c>
    </row>
    <row r="13" customFormat="false" ht="15" hidden="false" customHeight="false" outlineLevel="0" collapsed="false">
      <c r="A13" s="9" t="s">
        <v>39</v>
      </c>
      <c r="B13" s="10" t="s">
        <v>40</v>
      </c>
      <c r="C13" s="10" t="n">
        <f aca="false">COUNTA('News &amp; Events'!$H$5:$H$7)</f>
        <v>3</v>
      </c>
      <c r="D13" s="10" t="n">
        <f aca="false">COUNTIF('News &amp; Events'!$H$5:$H$7,"Ready")</f>
        <v>0</v>
      </c>
      <c r="E13" s="10" t="n">
        <f aca="false">COUNTIF('News &amp; Events'!$H$5:$H$7,"Partial")</f>
        <v>0</v>
      </c>
      <c r="F13" s="10" t="n">
        <f aca="false">COUNTIF('News &amp; Events'!$H$5:$H$7,"Missing")</f>
        <v>3</v>
      </c>
      <c r="G13" s="11" t="n">
        <f aca="false">IF(C13=0,0,D13/C13)</f>
        <v>0</v>
      </c>
    </row>
    <row r="14" customFormat="false" ht="15" hidden="false" customHeight="false" outlineLevel="0" collapsed="false">
      <c r="A14" s="9" t="s">
        <v>41</v>
      </c>
      <c r="B14" s="10" t="s">
        <v>42</v>
      </c>
      <c r="C14" s="10" t="n">
        <f aca="false">COUNTA('Contact &amp; Careers'!$H$5:$H$8)</f>
        <v>4</v>
      </c>
      <c r="D14" s="10" t="n">
        <f aca="false">COUNTIF('Contact &amp; Careers'!$H$5:$H$8,"Ready")</f>
        <v>1</v>
      </c>
      <c r="E14" s="10" t="n">
        <f aca="false">COUNTIF('Contact &amp; Careers'!$H$5:$H$8,"Partial")</f>
        <v>1</v>
      </c>
      <c r="F14" s="10" t="n">
        <f aca="false">COUNTIF('Contact &amp; Careers'!$H$5:$H$8,"Missing")</f>
        <v>2</v>
      </c>
      <c r="G14" s="11" t="n">
        <f aca="false">IF(C14=0,0,D14/C14)</f>
        <v>0.25</v>
      </c>
    </row>
    <row r="15" customFormat="false" ht="23.85" hidden="false" customHeight="false" outlineLevel="0" collapsed="false">
      <c r="A15" s="9" t="s">
        <v>43</v>
      </c>
      <c r="B15" s="10" t="s">
        <v>44</v>
      </c>
      <c r="C15" s="10" t="n">
        <f aca="false">COUNTA('Legal &amp; Compliance'!$H$5:$H$10)</f>
        <v>6</v>
      </c>
      <c r="D15" s="10" t="n">
        <f aca="false">COUNTIF('Legal &amp; Compliance'!$H$5:$H$10,"Ready")</f>
        <v>2</v>
      </c>
      <c r="E15" s="10" t="n">
        <f aca="false">COUNTIF('Legal &amp; Compliance'!$H$5:$H$10,"Partial")</f>
        <v>0</v>
      </c>
      <c r="F15" s="10" t="n">
        <f aca="false">COUNTIF('Legal &amp; Compliance'!$H$5:$H$10,"Missing")</f>
        <v>4</v>
      </c>
      <c r="G15" s="11" t="n">
        <f aca="false">IF(C15=0,0,D15/C15)</f>
        <v>0.333333333333333</v>
      </c>
    </row>
    <row r="16" customFormat="false" ht="23.85" hidden="false" customHeight="false" outlineLevel="0" collapsed="false">
      <c r="A16" s="9" t="s">
        <v>45</v>
      </c>
      <c r="B16" s="10" t="s">
        <v>46</v>
      </c>
      <c r="C16" s="10" t="n">
        <f aca="false">COUNTA(Portal!$H$5:$H$12)</f>
        <v>8</v>
      </c>
      <c r="D16" s="10" t="n">
        <f aca="false">COUNTIF(Portal!$H$5:$H$12,"Ready")</f>
        <v>3</v>
      </c>
      <c r="E16" s="10" t="n">
        <f aca="false">COUNTIF(Portal!$H$5:$H$12,"Partial")</f>
        <v>2</v>
      </c>
      <c r="F16" s="10" t="n">
        <f aca="false">COUNTIF(Portal!$H$5:$H$12,"Missing")</f>
        <v>3</v>
      </c>
      <c r="G16" s="11" t="n">
        <f aca="false">IF(C16=0,0,D16/C16)</f>
        <v>0.375</v>
      </c>
    </row>
    <row r="17" customFormat="false" ht="15" hidden="false" customHeight="false" outlineLevel="0" collapsed="false">
      <c r="A17" s="12" t="s">
        <v>47</v>
      </c>
      <c r="B17" s="13"/>
      <c r="C17" s="12" t="n">
        <f aca="false">SUM(C5:C16)</f>
        <v>113</v>
      </c>
      <c r="D17" s="12" t="n">
        <f aca="false">SUM(D5:D16)</f>
        <v>48</v>
      </c>
      <c r="E17" s="12" t="n">
        <f aca="false">SUM(E5:E16)</f>
        <v>20</v>
      </c>
      <c r="F17" s="12" t="n">
        <f aca="false">SUM(F5:F16)</f>
        <v>45</v>
      </c>
      <c r="G17" s="14" t="n">
        <f aca="false">IF(C17=0,0,D17/C17)</f>
        <v>0.424778761061947</v>
      </c>
    </row>
  </sheetData>
  <hyperlinks>
    <hyperlink ref="A5" r:id="rId1" location="'Global'!A1" display="Global"/>
    <hyperlink ref="A6" r:id="rId2" location="'Home'!A1" display="Home"/>
    <hyperlink ref="A7" r:id="rId3" location="'About'!A1" display="About"/>
    <hyperlink ref="A8" r:id="rId4" location="'Academics'!A1" display="Academics"/>
    <hyperlink ref="A9" r:id="rId5" location="'Student%20Life'!A1" display="Student Life"/>
    <hyperlink ref="A10" r:id="rId6" location="'Admissions'!A1" display="Admissions"/>
    <hyperlink ref="A11" r:id="rId7" location="'Campus'!A1" display="Campus"/>
    <hyperlink ref="A12" r:id="rId8" location="'Parents'!A1" display="Parents"/>
    <hyperlink ref="A13" r:id="rId9" location="'News%20&amp;%20Events'!A1" display="News &amp; Events"/>
    <hyperlink ref="A14" r:id="rId10" location="'Contact%20&amp;%20Careers'!A1" display="Contact &amp; Careers"/>
    <hyperlink ref="A15" r:id="rId11" location="'Legal%20&amp;%20Compliance'!A1" display="Legal &amp; Compliance"/>
    <hyperlink ref="A16" r:id="rId12" location="'Portal'!A1" display="Port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8"/>
    <col collapsed="false" customWidth="true" hidden="false" outlineLevel="0" max="4" min="4" style="0" width="24"/>
    <col collapsed="false" customWidth="true" hidden="false" outlineLevel="0" max="5" min="5" style="0" width="28"/>
    <col collapsed="false" customWidth="true" hidden="false" outlineLevel="0" max="6" min="6" style="0" width="60"/>
    <col collapsed="false" customWidth="true" hidden="false" outlineLevel="0" max="7" min="7" style="0" width="26"/>
    <col collapsed="false" customWidth="true" hidden="false" outlineLevel="0" max="8" min="8" style="0" width="10"/>
  </cols>
  <sheetData>
    <row r="1" customFormat="false" ht="17.35" hidden="false" customHeight="false" outlineLevel="0" collapsed="false">
      <c r="A1" s="1" t="s">
        <v>48</v>
      </c>
    </row>
    <row r="2" customFormat="false" ht="15" hidden="false" customHeight="false" outlineLevel="0" collapsed="false">
      <c r="A2" s="7" t="s">
        <v>49</v>
      </c>
    </row>
    <row r="4" customFormat="false" ht="15" hidden="false" customHeight="false" outlineLevel="0" collapsed="false">
      <c r="A4" s="8" t="s">
        <v>50</v>
      </c>
      <c r="B4" s="8" t="s">
        <v>51</v>
      </c>
      <c r="C4" s="8" t="s">
        <v>20</v>
      </c>
      <c r="D4" s="8" t="s">
        <v>52</v>
      </c>
      <c r="E4" s="8" t="s">
        <v>53</v>
      </c>
      <c r="F4" s="8" t="s">
        <v>54</v>
      </c>
      <c r="G4" s="8" t="s">
        <v>55</v>
      </c>
      <c r="H4" s="8" t="s">
        <v>56</v>
      </c>
    </row>
    <row r="5" customFormat="false" ht="23.85" hidden="false" customHeight="false" outlineLevel="0" collapsed="false">
      <c r="A5" s="10" t="n">
        <v>1</v>
      </c>
      <c r="B5" s="10" t="s">
        <v>57</v>
      </c>
      <c r="C5" s="10" t="s">
        <v>24</v>
      </c>
      <c r="D5" s="10" t="s">
        <v>25</v>
      </c>
      <c r="E5" s="10" t="s">
        <v>58</v>
      </c>
      <c r="F5" s="10" t="s">
        <v>59</v>
      </c>
      <c r="G5" s="10" t="s">
        <v>60</v>
      </c>
      <c r="H5" s="10" t="s">
        <v>17</v>
      </c>
    </row>
    <row r="6" customFormat="false" ht="15" hidden="false" customHeight="false" outlineLevel="0" collapsed="false">
      <c r="A6" s="10" t="n">
        <v>2</v>
      </c>
      <c r="B6" s="10" t="s">
        <v>57</v>
      </c>
      <c r="C6" s="10" t="s">
        <v>24</v>
      </c>
      <c r="D6" s="10" t="s">
        <v>25</v>
      </c>
      <c r="E6" s="10" t="s">
        <v>61</v>
      </c>
      <c r="F6" s="10" t="s">
        <v>62</v>
      </c>
      <c r="G6" s="10" t="s">
        <v>60</v>
      </c>
      <c r="H6" s="10" t="s">
        <v>17</v>
      </c>
    </row>
    <row r="7" customFormat="false" ht="15" hidden="false" customHeight="false" outlineLevel="0" collapsed="false">
      <c r="A7" s="10" t="n">
        <v>3</v>
      </c>
      <c r="B7" s="10" t="s">
        <v>57</v>
      </c>
      <c r="C7" s="10" t="s">
        <v>24</v>
      </c>
      <c r="D7" s="10" t="s">
        <v>25</v>
      </c>
      <c r="E7" s="10" t="s">
        <v>63</v>
      </c>
      <c r="F7" s="10" t="s">
        <v>64</v>
      </c>
      <c r="G7" s="10" t="s">
        <v>60</v>
      </c>
      <c r="H7" s="10" t="s">
        <v>17</v>
      </c>
    </row>
    <row r="8" customFormat="false" ht="15" hidden="false" customHeight="false" outlineLevel="0" collapsed="false">
      <c r="A8" s="10" t="n">
        <v>4</v>
      </c>
      <c r="B8" s="10" t="s">
        <v>57</v>
      </c>
      <c r="C8" s="10" t="s">
        <v>24</v>
      </c>
      <c r="D8" s="10" t="s">
        <v>25</v>
      </c>
      <c r="E8" s="10" t="s">
        <v>65</v>
      </c>
      <c r="F8" s="10" t="s">
        <v>66</v>
      </c>
      <c r="G8" s="10" t="s">
        <v>60</v>
      </c>
      <c r="H8" s="10" t="s">
        <v>17</v>
      </c>
    </row>
    <row r="9" customFormat="false" ht="23.85" hidden="false" customHeight="false" outlineLevel="0" collapsed="false">
      <c r="A9" s="10" t="n">
        <v>5</v>
      </c>
      <c r="B9" s="10" t="s">
        <v>57</v>
      </c>
      <c r="C9" s="10" t="s">
        <v>26</v>
      </c>
      <c r="D9" s="10" t="s">
        <v>26</v>
      </c>
      <c r="E9" s="10" t="s">
        <v>67</v>
      </c>
      <c r="F9" s="10" t="s">
        <v>68</v>
      </c>
      <c r="G9" s="10" t="s">
        <v>69</v>
      </c>
      <c r="H9" s="10" t="s">
        <v>17</v>
      </c>
    </row>
    <row r="10" customFormat="false" ht="15" hidden="false" customHeight="false" outlineLevel="0" collapsed="false">
      <c r="A10" s="10" t="n">
        <v>6</v>
      </c>
      <c r="B10" s="10" t="s">
        <v>57</v>
      </c>
      <c r="C10" s="10" t="s">
        <v>26</v>
      </c>
      <c r="D10" s="10" t="s">
        <v>26</v>
      </c>
      <c r="E10" s="10" t="s">
        <v>70</v>
      </c>
      <c r="F10" s="10" t="s">
        <v>71</v>
      </c>
      <c r="G10" s="10" t="s">
        <v>72</v>
      </c>
      <c r="H10" s="10" t="s">
        <v>17</v>
      </c>
    </row>
    <row r="11" customFormat="false" ht="15" hidden="false" customHeight="false" outlineLevel="0" collapsed="false">
      <c r="A11" s="10" t="n">
        <v>7</v>
      </c>
      <c r="B11" s="10" t="s">
        <v>57</v>
      </c>
      <c r="C11" s="10" t="s">
        <v>26</v>
      </c>
      <c r="D11" s="10" t="s">
        <v>26</v>
      </c>
      <c r="E11" s="10" t="s">
        <v>73</v>
      </c>
      <c r="F11" s="10" t="s">
        <v>74</v>
      </c>
      <c r="G11" s="10" t="s">
        <v>75</v>
      </c>
      <c r="H11" s="10" t="s">
        <v>17</v>
      </c>
    </row>
    <row r="12" customFormat="false" ht="15" hidden="false" customHeight="false" outlineLevel="0" collapsed="false">
      <c r="A12" s="10" t="n">
        <v>8</v>
      </c>
      <c r="B12" s="10" t="s">
        <v>57</v>
      </c>
      <c r="C12" s="10" t="s">
        <v>26</v>
      </c>
      <c r="D12" s="10" t="s">
        <v>26</v>
      </c>
      <c r="E12" s="10" t="s">
        <v>76</v>
      </c>
      <c r="F12" s="10" t="s">
        <v>77</v>
      </c>
      <c r="G12" s="10" t="s">
        <v>78</v>
      </c>
      <c r="H12" s="10" t="s">
        <v>17</v>
      </c>
    </row>
    <row r="13" customFormat="false" ht="23.85" hidden="false" customHeight="false" outlineLevel="0" collapsed="false">
      <c r="A13" s="10" t="n">
        <v>9</v>
      </c>
      <c r="B13" s="10" t="s">
        <v>57</v>
      </c>
      <c r="C13" s="10" t="s">
        <v>27</v>
      </c>
      <c r="D13" s="10" t="s">
        <v>79</v>
      </c>
      <c r="E13" s="10" t="s">
        <v>80</v>
      </c>
      <c r="F13" s="10" t="s">
        <v>81</v>
      </c>
      <c r="G13" s="10" t="s">
        <v>82</v>
      </c>
      <c r="H13" s="10" t="s">
        <v>17</v>
      </c>
    </row>
    <row r="14" customFormat="false" ht="15" hidden="false" customHeight="false" outlineLevel="0" collapsed="false">
      <c r="A14" s="10" t="n">
        <v>10</v>
      </c>
      <c r="B14" s="10" t="s">
        <v>57</v>
      </c>
      <c r="C14" s="10" t="s">
        <v>27</v>
      </c>
      <c r="D14" s="10" t="s">
        <v>83</v>
      </c>
      <c r="E14" s="10" t="s">
        <v>84</v>
      </c>
      <c r="F14" s="10" t="s">
        <v>85</v>
      </c>
      <c r="G14" s="10" t="s">
        <v>72</v>
      </c>
      <c r="H14" s="10" t="s">
        <v>17</v>
      </c>
    </row>
    <row r="15" customFormat="false" ht="15" hidden="false" customHeight="false" outlineLevel="0" collapsed="false">
      <c r="A15" s="10" t="n">
        <v>11</v>
      </c>
      <c r="B15" s="10" t="s">
        <v>57</v>
      </c>
      <c r="C15" s="10" t="s">
        <v>27</v>
      </c>
      <c r="D15" s="10" t="s">
        <v>83</v>
      </c>
      <c r="E15" s="10" t="s">
        <v>86</v>
      </c>
      <c r="F15" s="10" t="s">
        <v>87</v>
      </c>
      <c r="G15" s="10" t="s">
        <v>88</v>
      </c>
      <c r="H15" s="10" t="s">
        <v>17</v>
      </c>
    </row>
    <row r="16" customFormat="false" ht="15" hidden="false" customHeight="false" outlineLevel="0" collapsed="false">
      <c r="A16" s="10" t="n">
        <v>12</v>
      </c>
      <c r="B16" s="10" t="s">
        <v>57</v>
      </c>
      <c r="C16" s="10" t="s">
        <v>27</v>
      </c>
      <c r="D16" s="10" t="s">
        <v>89</v>
      </c>
      <c r="E16" s="10" t="s">
        <v>90</v>
      </c>
      <c r="F16" s="10" t="s">
        <v>91</v>
      </c>
      <c r="G16" s="10" t="s">
        <v>92</v>
      </c>
      <c r="H16" s="10" t="s">
        <v>17</v>
      </c>
    </row>
    <row r="17" customFormat="false" ht="15" hidden="false" customHeight="false" outlineLevel="0" collapsed="false">
      <c r="A17" s="10" t="n">
        <v>13</v>
      </c>
      <c r="B17" s="10" t="s">
        <v>57</v>
      </c>
      <c r="C17" s="10" t="s">
        <v>33</v>
      </c>
      <c r="D17" s="10" t="s">
        <v>93</v>
      </c>
      <c r="E17" s="10" t="s">
        <v>94</v>
      </c>
      <c r="F17" s="10" t="s">
        <v>95</v>
      </c>
      <c r="G17" s="10" t="s">
        <v>60</v>
      </c>
      <c r="H17" s="10" t="s">
        <v>17</v>
      </c>
    </row>
    <row r="18" customFormat="false" ht="23.85" hidden="false" customHeight="false" outlineLevel="0" collapsed="false">
      <c r="A18" s="10" t="n">
        <v>14</v>
      </c>
      <c r="B18" s="10" t="s">
        <v>57</v>
      </c>
      <c r="C18" s="10" t="s">
        <v>33</v>
      </c>
      <c r="D18" s="10" t="s">
        <v>93</v>
      </c>
      <c r="E18" s="10" t="s">
        <v>96</v>
      </c>
      <c r="F18" s="10" t="s">
        <v>97</v>
      </c>
      <c r="G18" s="10" t="s">
        <v>60</v>
      </c>
      <c r="H18" s="10" t="s">
        <v>17</v>
      </c>
    </row>
    <row r="19" customFormat="false" ht="15" hidden="false" customHeight="false" outlineLevel="0" collapsed="false">
      <c r="A19" s="10" t="n">
        <v>15</v>
      </c>
      <c r="B19" s="10" t="s">
        <v>57</v>
      </c>
      <c r="C19" s="10" t="s">
        <v>33</v>
      </c>
      <c r="D19" s="10" t="s">
        <v>98</v>
      </c>
      <c r="E19" s="10" t="s">
        <v>99</v>
      </c>
      <c r="F19" s="10" t="s">
        <v>100</v>
      </c>
      <c r="G19" s="10" t="s">
        <v>60</v>
      </c>
      <c r="H19" s="10" t="s">
        <v>17</v>
      </c>
    </row>
    <row r="20" customFormat="false" ht="23.85" hidden="false" customHeight="false" outlineLevel="0" collapsed="false">
      <c r="A20" s="10" t="n">
        <v>16</v>
      </c>
      <c r="B20" s="10" t="s">
        <v>57</v>
      </c>
      <c r="C20" s="10" t="s">
        <v>33</v>
      </c>
      <c r="D20" s="10" t="s">
        <v>101</v>
      </c>
      <c r="E20" s="10" t="s">
        <v>102</v>
      </c>
      <c r="F20" s="10" t="s">
        <v>103</v>
      </c>
      <c r="G20" s="10" t="s">
        <v>104</v>
      </c>
      <c r="H20" s="10" t="s">
        <v>17</v>
      </c>
    </row>
    <row r="21" customFormat="false" ht="15" hidden="false" customHeight="false" outlineLevel="0" collapsed="false">
      <c r="A21" s="10" t="n">
        <v>17</v>
      </c>
      <c r="B21" s="10" t="s">
        <v>57</v>
      </c>
      <c r="C21" s="10" t="s">
        <v>33</v>
      </c>
      <c r="D21" s="10" t="s">
        <v>101</v>
      </c>
      <c r="E21" s="10" t="s">
        <v>105</v>
      </c>
      <c r="F21" s="10" t="s">
        <v>106</v>
      </c>
      <c r="G21" s="10" t="s">
        <v>60</v>
      </c>
      <c r="H21" s="10" t="s">
        <v>17</v>
      </c>
    </row>
    <row r="22" customFormat="false" ht="15" hidden="false" customHeight="false" outlineLevel="0" collapsed="false">
      <c r="A22" s="10" t="n">
        <v>18</v>
      </c>
      <c r="B22" s="10" t="s">
        <v>57</v>
      </c>
      <c r="C22" s="10" t="s">
        <v>33</v>
      </c>
      <c r="D22" s="10" t="s">
        <v>107</v>
      </c>
      <c r="E22" s="10" t="s">
        <v>108</v>
      </c>
      <c r="F22" s="10" t="s">
        <v>109</v>
      </c>
      <c r="G22" s="10" t="s">
        <v>110</v>
      </c>
      <c r="H22" s="10" t="s">
        <v>17</v>
      </c>
    </row>
    <row r="23" customFormat="false" ht="15" hidden="false" customHeight="false" outlineLevel="0" collapsed="false">
      <c r="A23" s="10" t="n">
        <v>19</v>
      </c>
      <c r="B23" s="10" t="s">
        <v>57</v>
      </c>
      <c r="C23" s="10" t="s">
        <v>41</v>
      </c>
      <c r="D23" s="10" t="s">
        <v>111</v>
      </c>
      <c r="E23" s="10" t="s">
        <v>112</v>
      </c>
      <c r="F23" s="10" t="s">
        <v>113</v>
      </c>
      <c r="G23" s="10" t="s">
        <v>60</v>
      </c>
      <c r="H23" s="10" t="s">
        <v>17</v>
      </c>
    </row>
    <row r="24" customFormat="false" ht="23.85" hidden="false" customHeight="false" outlineLevel="0" collapsed="false">
      <c r="A24" s="10" t="n">
        <v>20</v>
      </c>
      <c r="B24" s="10" t="s">
        <v>57</v>
      </c>
      <c r="C24" s="10" t="s">
        <v>43</v>
      </c>
      <c r="D24" s="10" t="s">
        <v>114</v>
      </c>
      <c r="E24" s="10" t="s">
        <v>115</v>
      </c>
      <c r="F24" s="10" t="s">
        <v>116</v>
      </c>
      <c r="G24" s="10" t="s">
        <v>117</v>
      </c>
      <c r="H24" s="10" t="s">
        <v>17</v>
      </c>
    </row>
    <row r="25" customFormat="false" ht="15" hidden="false" customHeight="false" outlineLevel="0" collapsed="false">
      <c r="A25" s="10" t="n">
        <v>21</v>
      </c>
      <c r="B25" s="10" t="s">
        <v>57</v>
      </c>
      <c r="C25" s="10" t="s">
        <v>43</v>
      </c>
      <c r="D25" s="10" t="s">
        <v>118</v>
      </c>
      <c r="E25" s="10" t="s">
        <v>119</v>
      </c>
      <c r="F25" s="10" t="s">
        <v>120</v>
      </c>
      <c r="G25" s="10" t="s">
        <v>60</v>
      </c>
      <c r="H25" s="10" t="s">
        <v>17</v>
      </c>
    </row>
    <row r="26" customFormat="false" ht="15" hidden="false" customHeight="false" outlineLevel="0" collapsed="false">
      <c r="A26" s="10" t="n">
        <v>22</v>
      </c>
      <c r="B26" s="10" t="s">
        <v>57</v>
      </c>
      <c r="C26" s="10" t="s">
        <v>43</v>
      </c>
      <c r="D26" s="10" t="s">
        <v>121</v>
      </c>
      <c r="E26" s="10" t="s">
        <v>122</v>
      </c>
      <c r="F26" s="10" t="s">
        <v>123</v>
      </c>
      <c r="G26" s="10" t="s">
        <v>60</v>
      </c>
      <c r="H26" s="10" t="s">
        <v>17</v>
      </c>
    </row>
    <row r="27" customFormat="false" ht="15" hidden="false" customHeight="false" outlineLevel="0" collapsed="false">
      <c r="A27" s="10" t="n">
        <v>23</v>
      </c>
      <c r="B27" s="10" t="s">
        <v>57</v>
      </c>
      <c r="C27" s="10" t="s">
        <v>43</v>
      </c>
      <c r="D27" s="10" t="s">
        <v>124</v>
      </c>
      <c r="E27" s="10" t="s">
        <v>125</v>
      </c>
      <c r="F27" s="10" t="s">
        <v>126</v>
      </c>
      <c r="G27" s="10" t="s">
        <v>60</v>
      </c>
      <c r="H27" s="10" t="s">
        <v>17</v>
      </c>
    </row>
    <row r="28" customFormat="false" ht="23.85" hidden="false" customHeight="false" outlineLevel="0" collapsed="false">
      <c r="A28" s="10" t="n">
        <v>24</v>
      </c>
      <c r="B28" s="10" t="s">
        <v>57</v>
      </c>
      <c r="C28" s="10" t="s">
        <v>24</v>
      </c>
      <c r="D28" s="10" t="s">
        <v>25</v>
      </c>
      <c r="E28" s="10" t="s">
        <v>127</v>
      </c>
      <c r="F28" s="10" t="s">
        <v>128</v>
      </c>
      <c r="G28" s="10" t="s">
        <v>129</v>
      </c>
      <c r="H28" s="10" t="s">
        <v>16</v>
      </c>
    </row>
    <row r="29" customFormat="false" ht="15" hidden="false" customHeight="false" outlineLevel="0" collapsed="false">
      <c r="A29" s="10" t="n">
        <v>25</v>
      </c>
      <c r="B29" s="10" t="s">
        <v>57</v>
      </c>
      <c r="C29" s="10" t="s">
        <v>35</v>
      </c>
      <c r="D29" s="10" t="s">
        <v>130</v>
      </c>
      <c r="E29" s="10" t="s">
        <v>131</v>
      </c>
      <c r="F29" s="10" t="s">
        <v>132</v>
      </c>
      <c r="G29" s="10" t="s">
        <v>60</v>
      </c>
      <c r="H29" s="10" t="s">
        <v>16</v>
      </c>
    </row>
    <row r="30" customFormat="false" ht="23.85" hidden="false" customHeight="false" outlineLevel="0" collapsed="false">
      <c r="A30" s="10" t="n">
        <v>26</v>
      </c>
      <c r="B30" s="10" t="s">
        <v>133</v>
      </c>
      <c r="C30" s="10" t="s">
        <v>29</v>
      </c>
      <c r="D30" s="10" t="s">
        <v>134</v>
      </c>
      <c r="E30" s="10" t="s">
        <v>135</v>
      </c>
      <c r="F30" s="10" t="s">
        <v>136</v>
      </c>
      <c r="G30" s="10" t="s">
        <v>137</v>
      </c>
      <c r="H30" s="10" t="s">
        <v>17</v>
      </c>
    </row>
    <row r="31" customFormat="false" ht="15" hidden="false" customHeight="false" outlineLevel="0" collapsed="false">
      <c r="A31" s="10" t="n">
        <v>27</v>
      </c>
      <c r="B31" s="10" t="s">
        <v>133</v>
      </c>
      <c r="C31" s="10" t="s">
        <v>29</v>
      </c>
      <c r="D31" s="10" t="s">
        <v>138</v>
      </c>
      <c r="E31" s="10" t="s">
        <v>139</v>
      </c>
      <c r="F31" s="10" t="s">
        <v>140</v>
      </c>
      <c r="G31" s="10" t="s">
        <v>141</v>
      </c>
      <c r="H31" s="10" t="s">
        <v>17</v>
      </c>
    </row>
    <row r="32" customFormat="false" ht="23.85" hidden="false" customHeight="false" outlineLevel="0" collapsed="false">
      <c r="A32" s="10" t="n">
        <v>28</v>
      </c>
      <c r="B32" s="10" t="s">
        <v>133</v>
      </c>
      <c r="C32" s="10" t="s">
        <v>29</v>
      </c>
      <c r="D32" s="10" t="s">
        <v>142</v>
      </c>
      <c r="E32" s="10" t="s">
        <v>143</v>
      </c>
      <c r="F32" s="10" t="s">
        <v>144</v>
      </c>
      <c r="G32" s="10" t="s">
        <v>60</v>
      </c>
      <c r="H32" s="10" t="s">
        <v>17</v>
      </c>
    </row>
    <row r="33" customFormat="false" ht="15" hidden="false" customHeight="false" outlineLevel="0" collapsed="false">
      <c r="A33" s="10" t="n">
        <v>29</v>
      </c>
      <c r="B33" s="10" t="s">
        <v>133</v>
      </c>
      <c r="C33" s="10" t="s">
        <v>31</v>
      </c>
      <c r="D33" s="10" t="s">
        <v>145</v>
      </c>
      <c r="E33" s="10" t="s">
        <v>146</v>
      </c>
      <c r="F33" s="10" t="s">
        <v>147</v>
      </c>
      <c r="G33" s="10" t="s">
        <v>148</v>
      </c>
      <c r="H33" s="10" t="s">
        <v>17</v>
      </c>
    </row>
    <row r="34" customFormat="false" ht="15" hidden="false" customHeight="false" outlineLevel="0" collapsed="false">
      <c r="A34" s="10" t="n">
        <v>30</v>
      </c>
      <c r="B34" s="10" t="s">
        <v>133</v>
      </c>
      <c r="C34" s="10" t="s">
        <v>35</v>
      </c>
      <c r="D34" s="10" t="s">
        <v>149</v>
      </c>
      <c r="E34" s="10" t="s">
        <v>150</v>
      </c>
      <c r="F34" s="10" t="s">
        <v>151</v>
      </c>
      <c r="G34" s="10" t="s">
        <v>152</v>
      </c>
      <c r="H34" s="10" t="s">
        <v>17</v>
      </c>
    </row>
    <row r="35" customFormat="false" ht="15" hidden="false" customHeight="false" outlineLevel="0" collapsed="false">
      <c r="A35" s="10" t="n">
        <v>31</v>
      </c>
      <c r="B35" s="10" t="s">
        <v>133</v>
      </c>
      <c r="C35" s="10" t="s">
        <v>35</v>
      </c>
      <c r="D35" s="10" t="s">
        <v>153</v>
      </c>
      <c r="E35" s="10" t="s">
        <v>154</v>
      </c>
      <c r="F35" s="10" t="s">
        <v>155</v>
      </c>
      <c r="G35" s="10" t="s">
        <v>156</v>
      </c>
      <c r="H35" s="10" t="s">
        <v>17</v>
      </c>
    </row>
    <row r="36" customFormat="false" ht="15" hidden="false" customHeight="false" outlineLevel="0" collapsed="false">
      <c r="A36" s="10" t="n">
        <v>32</v>
      </c>
      <c r="B36" s="10" t="s">
        <v>133</v>
      </c>
      <c r="C36" s="10" t="s">
        <v>35</v>
      </c>
      <c r="D36" s="10" t="s">
        <v>157</v>
      </c>
      <c r="E36" s="10" t="s">
        <v>158</v>
      </c>
      <c r="F36" s="10" t="s">
        <v>159</v>
      </c>
      <c r="G36" s="10" t="s">
        <v>78</v>
      </c>
      <c r="H36" s="10" t="s">
        <v>17</v>
      </c>
    </row>
    <row r="37" customFormat="false" ht="23.85" hidden="false" customHeight="false" outlineLevel="0" collapsed="false">
      <c r="A37" s="10" t="n">
        <v>33</v>
      </c>
      <c r="B37" s="10" t="s">
        <v>133</v>
      </c>
      <c r="C37" s="10" t="s">
        <v>35</v>
      </c>
      <c r="D37" s="10" t="s">
        <v>160</v>
      </c>
      <c r="E37" s="10" t="s">
        <v>161</v>
      </c>
      <c r="F37" s="10" t="s">
        <v>162</v>
      </c>
      <c r="G37" s="10" t="s">
        <v>60</v>
      </c>
      <c r="H37" s="10" t="s">
        <v>17</v>
      </c>
    </row>
    <row r="38" customFormat="false" ht="15" hidden="false" customHeight="false" outlineLevel="0" collapsed="false">
      <c r="A38" s="10" t="n">
        <v>34</v>
      </c>
      <c r="B38" s="10" t="s">
        <v>133</v>
      </c>
      <c r="C38" s="10" t="s">
        <v>35</v>
      </c>
      <c r="D38" s="10" t="s">
        <v>163</v>
      </c>
      <c r="E38" s="10" t="s">
        <v>164</v>
      </c>
      <c r="F38" s="10" t="s">
        <v>165</v>
      </c>
      <c r="G38" s="10" t="s">
        <v>60</v>
      </c>
      <c r="H38" s="10" t="s">
        <v>17</v>
      </c>
    </row>
    <row r="39" customFormat="false" ht="15" hidden="false" customHeight="false" outlineLevel="0" collapsed="false">
      <c r="A39" s="10" t="n">
        <v>35</v>
      </c>
      <c r="B39" s="10" t="s">
        <v>133</v>
      </c>
      <c r="C39" s="10" t="s">
        <v>35</v>
      </c>
      <c r="D39" s="10" t="s">
        <v>166</v>
      </c>
      <c r="E39" s="10" t="s">
        <v>167</v>
      </c>
      <c r="F39" s="10" t="s">
        <v>168</v>
      </c>
      <c r="G39" s="10" t="s">
        <v>169</v>
      </c>
      <c r="H39" s="10" t="s">
        <v>17</v>
      </c>
    </row>
    <row r="40" customFormat="false" ht="15" hidden="false" customHeight="false" outlineLevel="0" collapsed="false">
      <c r="A40" s="10" t="n">
        <v>36</v>
      </c>
      <c r="B40" s="10" t="s">
        <v>133</v>
      </c>
      <c r="C40" s="10" t="s">
        <v>35</v>
      </c>
      <c r="D40" s="10" t="s">
        <v>170</v>
      </c>
      <c r="E40" s="10" t="s">
        <v>171</v>
      </c>
      <c r="F40" s="10" t="s">
        <v>172</v>
      </c>
      <c r="G40" s="10" t="s">
        <v>173</v>
      </c>
      <c r="H40" s="10" t="s">
        <v>17</v>
      </c>
    </row>
    <row r="41" customFormat="false" ht="15" hidden="false" customHeight="false" outlineLevel="0" collapsed="false">
      <c r="A41" s="10" t="n">
        <v>37</v>
      </c>
      <c r="B41" s="10" t="s">
        <v>133</v>
      </c>
      <c r="C41" s="10" t="s">
        <v>37</v>
      </c>
      <c r="D41" s="10" t="s">
        <v>174</v>
      </c>
      <c r="E41" s="10" t="s">
        <v>175</v>
      </c>
      <c r="F41" s="10" t="s">
        <v>176</v>
      </c>
      <c r="G41" s="10" t="s">
        <v>60</v>
      </c>
      <c r="H41" s="10" t="s">
        <v>17</v>
      </c>
    </row>
    <row r="42" customFormat="false" ht="15" hidden="false" customHeight="false" outlineLevel="0" collapsed="false">
      <c r="A42" s="10" t="n">
        <v>38</v>
      </c>
      <c r="B42" s="10" t="s">
        <v>133</v>
      </c>
      <c r="C42" s="10" t="s">
        <v>37</v>
      </c>
      <c r="D42" s="10" t="s">
        <v>177</v>
      </c>
      <c r="E42" s="10" t="s">
        <v>178</v>
      </c>
      <c r="F42" s="10" t="s">
        <v>179</v>
      </c>
      <c r="G42" s="10" t="s">
        <v>180</v>
      </c>
      <c r="H42" s="10" t="s">
        <v>17</v>
      </c>
    </row>
    <row r="43" customFormat="false" ht="23.85" hidden="false" customHeight="false" outlineLevel="0" collapsed="false">
      <c r="A43" s="10" t="n">
        <v>39</v>
      </c>
      <c r="B43" s="10" t="s">
        <v>133</v>
      </c>
      <c r="C43" s="10" t="s">
        <v>37</v>
      </c>
      <c r="D43" s="10" t="s">
        <v>181</v>
      </c>
      <c r="E43" s="10" t="s">
        <v>182</v>
      </c>
      <c r="F43" s="10" t="s">
        <v>183</v>
      </c>
      <c r="G43" s="10" t="s">
        <v>184</v>
      </c>
      <c r="H43" s="10" t="s">
        <v>17</v>
      </c>
    </row>
    <row r="44" customFormat="false" ht="15" hidden="false" customHeight="false" outlineLevel="0" collapsed="false">
      <c r="A44" s="10" t="n">
        <v>40</v>
      </c>
      <c r="B44" s="10" t="s">
        <v>133</v>
      </c>
      <c r="C44" s="10" t="s">
        <v>37</v>
      </c>
      <c r="D44" s="10" t="s">
        <v>185</v>
      </c>
      <c r="E44" s="10" t="s">
        <v>186</v>
      </c>
      <c r="F44" s="10" t="s">
        <v>187</v>
      </c>
      <c r="G44" s="10" t="s">
        <v>60</v>
      </c>
      <c r="H44" s="10" t="s">
        <v>17</v>
      </c>
    </row>
    <row r="45" customFormat="false" ht="23.85" hidden="false" customHeight="false" outlineLevel="0" collapsed="false">
      <c r="A45" s="10" t="n">
        <v>41</v>
      </c>
      <c r="B45" s="10" t="s">
        <v>133</v>
      </c>
      <c r="C45" s="10" t="s">
        <v>39</v>
      </c>
      <c r="D45" s="10" t="s">
        <v>188</v>
      </c>
      <c r="E45" s="10" t="s">
        <v>189</v>
      </c>
      <c r="F45" s="10" t="s">
        <v>190</v>
      </c>
      <c r="G45" s="10" t="s">
        <v>191</v>
      </c>
      <c r="H45" s="10" t="s">
        <v>17</v>
      </c>
    </row>
    <row r="46" customFormat="false" ht="15" hidden="false" customHeight="false" outlineLevel="0" collapsed="false">
      <c r="A46" s="10" t="n">
        <v>42</v>
      </c>
      <c r="B46" s="10" t="s">
        <v>133</v>
      </c>
      <c r="C46" s="10" t="s">
        <v>39</v>
      </c>
      <c r="D46" s="10" t="s">
        <v>192</v>
      </c>
      <c r="E46" s="10" t="s">
        <v>193</v>
      </c>
      <c r="F46" s="10" t="s">
        <v>194</v>
      </c>
      <c r="G46" s="10" t="s">
        <v>195</v>
      </c>
      <c r="H46" s="10" t="s">
        <v>17</v>
      </c>
    </row>
    <row r="47" customFormat="false" ht="23.85" hidden="false" customHeight="false" outlineLevel="0" collapsed="false">
      <c r="A47" s="10" t="n">
        <v>43</v>
      </c>
      <c r="B47" s="10" t="s">
        <v>133</v>
      </c>
      <c r="C47" s="10" t="s">
        <v>39</v>
      </c>
      <c r="D47" s="10" t="s">
        <v>196</v>
      </c>
      <c r="E47" s="10" t="s">
        <v>197</v>
      </c>
      <c r="F47" s="10" t="s">
        <v>198</v>
      </c>
      <c r="G47" s="10" t="s">
        <v>60</v>
      </c>
      <c r="H47" s="10" t="s">
        <v>17</v>
      </c>
    </row>
    <row r="48" customFormat="false" ht="15" hidden="false" customHeight="false" outlineLevel="0" collapsed="false">
      <c r="A48" s="10" t="n">
        <v>44</v>
      </c>
      <c r="B48" s="10" t="s">
        <v>133</v>
      </c>
      <c r="C48" s="10" t="s">
        <v>45</v>
      </c>
      <c r="D48" s="10" t="s">
        <v>199</v>
      </c>
      <c r="E48" s="10" t="s">
        <v>200</v>
      </c>
      <c r="F48" s="10" t="s">
        <v>201</v>
      </c>
      <c r="G48" s="10" t="s">
        <v>202</v>
      </c>
      <c r="H48" s="10" t="s">
        <v>17</v>
      </c>
    </row>
    <row r="49" customFormat="false" ht="15" hidden="false" customHeight="false" outlineLevel="0" collapsed="false">
      <c r="A49" s="10" t="n">
        <v>45</v>
      </c>
      <c r="B49" s="10" t="s">
        <v>133</v>
      </c>
      <c r="C49" s="10" t="s">
        <v>45</v>
      </c>
      <c r="D49" s="10" t="s">
        <v>203</v>
      </c>
      <c r="E49" s="10" t="s">
        <v>204</v>
      </c>
      <c r="F49" s="10" t="s">
        <v>205</v>
      </c>
      <c r="G49" s="10" t="s">
        <v>60</v>
      </c>
      <c r="H49" s="10" t="s">
        <v>17</v>
      </c>
    </row>
    <row r="50" customFormat="false" ht="15" hidden="false" customHeight="false" outlineLevel="0" collapsed="false">
      <c r="A50" s="10" t="n">
        <v>46</v>
      </c>
      <c r="B50" s="10" t="s">
        <v>133</v>
      </c>
      <c r="C50" s="10" t="s">
        <v>45</v>
      </c>
      <c r="D50" s="10" t="s">
        <v>206</v>
      </c>
      <c r="E50" s="10" t="s">
        <v>207</v>
      </c>
      <c r="F50" s="10" t="s">
        <v>208</v>
      </c>
      <c r="G50" s="10" t="s">
        <v>60</v>
      </c>
      <c r="H50" s="10" t="s">
        <v>17</v>
      </c>
    </row>
    <row r="51" customFormat="false" ht="15" hidden="false" customHeight="false" outlineLevel="0" collapsed="false">
      <c r="A51" s="10" t="n">
        <v>47</v>
      </c>
      <c r="B51" s="10" t="s">
        <v>133</v>
      </c>
      <c r="C51" s="10" t="s">
        <v>24</v>
      </c>
      <c r="D51" s="10" t="s">
        <v>25</v>
      </c>
      <c r="E51" s="10" t="s">
        <v>209</v>
      </c>
      <c r="F51" s="10" t="s">
        <v>210</v>
      </c>
      <c r="G51" s="10" t="s">
        <v>60</v>
      </c>
      <c r="H51" s="10" t="s">
        <v>16</v>
      </c>
    </row>
    <row r="52" customFormat="false" ht="15" hidden="false" customHeight="false" outlineLevel="0" collapsed="false">
      <c r="A52" s="10" t="n">
        <v>48</v>
      </c>
      <c r="B52" s="10" t="s">
        <v>133</v>
      </c>
      <c r="C52" s="10" t="s">
        <v>24</v>
      </c>
      <c r="D52" s="10" t="s">
        <v>25</v>
      </c>
      <c r="E52" s="10" t="s">
        <v>211</v>
      </c>
      <c r="F52" s="10" t="s">
        <v>212</v>
      </c>
      <c r="G52" s="10" t="s">
        <v>213</v>
      </c>
      <c r="H52" s="10" t="s">
        <v>16</v>
      </c>
    </row>
    <row r="53" customFormat="false" ht="23.85" hidden="false" customHeight="false" outlineLevel="0" collapsed="false">
      <c r="A53" s="10" t="n">
        <v>49</v>
      </c>
      <c r="B53" s="10" t="s">
        <v>133</v>
      </c>
      <c r="C53" s="10" t="s">
        <v>24</v>
      </c>
      <c r="D53" s="10" t="s">
        <v>25</v>
      </c>
      <c r="E53" s="10" t="s">
        <v>214</v>
      </c>
      <c r="F53" s="10" t="s">
        <v>215</v>
      </c>
      <c r="G53" s="10" t="s">
        <v>216</v>
      </c>
      <c r="H53" s="10" t="s">
        <v>16</v>
      </c>
    </row>
    <row r="54" customFormat="false" ht="15" hidden="false" customHeight="false" outlineLevel="0" collapsed="false">
      <c r="A54" s="10" t="n">
        <v>50</v>
      </c>
      <c r="B54" s="10" t="s">
        <v>133</v>
      </c>
      <c r="C54" s="10" t="s">
        <v>26</v>
      </c>
      <c r="D54" s="10" t="s">
        <v>26</v>
      </c>
      <c r="E54" s="10" t="s">
        <v>217</v>
      </c>
      <c r="F54" s="10" t="s">
        <v>218</v>
      </c>
      <c r="G54" s="10" t="s">
        <v>219</v>
      </c>
      <c r="H54" s="10" t="s">
        <v>16</v>
      </c>
    </row>
    <row r="55" customFormat="false" ht="15" hidden="false" customHeight="false" outlineLevel="0" collapsed="false">
      <c r="A55" s="10" t="n">
        <v>51</v>
      </c>
      <c r="B55" s="10" t="s">
        <v>133</v>
      </c>
      <c r="C55" s="10" t="s">
        <v>26</v>
      </c>
      <c r="D55" s="10" t="s">
        <v>26</v>
      </c>
      <c r="E55" s="10" t="s">
        <v>220</v>
      </c>
      <c r="F55" s="10" t="s">
        <v>221</v>
      </c>
      <c r="G55" s="10" t="s">
        <v>222</v>
      </c>
      <c r="H55" s="10" t="s">
        <v>16</v>
      </c>
    </row>
    <row r="56" customFormat="false" ht="23.85" hidden="false" customHeight="false" outlineLevel="0" collapsed="false">
      <c r="A56" s="10" t="n">
        <v>52</v>
      </c>
      <c r="B56" s="10" t="s">
        <v>133</v>
      </c>
      <c r="C56" s="10" t="s">
        <v>27</v>
      </c>
      <c r="D56" s="10" t="s">
        <v>223</v>
      </c>
      <c r="E56" s="10" t="s">
        <v>224</v>
      </c>
      <c r="F56" s="10" t="s">
        <v>225</v>
      </c>
      <c r="G56" s="10" t="s">
        <v>226</v>
      </c>
      <c r="H56" s="10" t="s">
        <v>16</v>
      </c>
    </row>
    <row r="57" customFormat="false" ht="15" hidden="false" customHeight="false" outlineLevel="0" collapsed="false">
      <c r="A57" s="10" t="n">
        <v>53</v>
      </c>
      <c r="B57" s="10" t="s">
        <v>133</v>
      </c>
      <c r="C57" s="10" t="s">
        <v>27</v>
      </c>
      <c r="D57" s="10" t="s">
        <v>227</v>
      </c>
      <c r="E57" s="10" t="s">
        <v>228</v>
      </c>
      <c r="F57" s="10" t="s">
        <v>229</v>
      </c>
      <c r="G57" s="10" t="s">
        <v>230</v>
      </c>
      <c r="H57" s="10" t="s">
        <v>16</v>
      </c>
    </row>
    <row r="58" customFormat="false" ht="15" hidden="false" customHeight="false" outlineLevel="0" collapsed="false">
      <c r="A58" s="10" t="n">
        <v>54</v>
      </c>
      <c r="B58" s="10" t="s">
        <v>133</v>
      </c>
      <c r="C58" s="10" t="s">
        <v>31</v>
      </c>
      <c r="D58" s="10" t="s">
        <v>145</v>
      </c>
      <c r="E58" s="10" t="s">
        <v>231</v>
      </c>
      <c r="F58" s="10" t="s">
        <v>232</v>
      </c>
      <c r="G58" s="10" t="s">
        <v>233</v>
      </c>
      <c r="H58" s="10" t="s">
        <v>16</v>
      </c>
    </row>
    <row r="59" customFormat="false" ht="15" hidden="false" customHeight="false" outlineLevel="0" collapsed="false">
      <c r="A59" s="10" t="n">
        <v>55</v>
      </c>
      <c r="B59" s="10" t="s">
        <v>133</v>
      </c>
      <c r="C59" s="10" t="s">
        <v>31</v>
      </c>
      <c r="D59" s="10" t="s">
        <v>234</v>
      </c>
      <c r="E59" s="10" t="s">
        <v>235</v>
      </c>
      <c r="F59" s="10" t="s">
        <v>236</v>
      </c>
      <c r="G59" s="10" t="s">
        <v>222</v>
      </c>
      <c r="H59" s="10" t="s">
        <v>16</v>
      </c>
    </row>
    <row r="60" customFormat="false" ht="15" hidden="false" customHeight="false" outlineLevel="0" collapsed="false">
      <c r="A60" s="10" t="n">
        <v>56</v>
      </c>
      <c r="B60" s="10" t="s">
        <v>133</v>
      </c>
      <c r="C60" s="10" t="s">
        <v>33</v>
      </c>
      <c r="D60" s="10" t="s">
        <v>237</v>
      </c>
      <c r="E60" s="10" t="s">
        <v>238</v>
      </c>
      <c r="F60" s="10" t="s">
        <v>239</v>
      </c>
      <c r="G60" s="10" t="s">
        <v>240</v>
      </c>
      <c r="H60" s="10" t="s">
        <v>16</v>
      </c>
    </row>
    <row r="61" customFormat="false" ht="15" hidden="false" customHeight="false" outlineLevel="0" collapsed="false">
      <c r="A61" s="10" t="n">
        <v>57</v>
      </c>
      <c r="B61" s="10" t="s">
        <v>133</v>
      </c>
      <c r="C61" s="10" t="s">
        <v>33</v>
      </c>
      <c r="D61" s="10" t="s">
        <v>93</v>
      </c>
      <c r="E61" s="10" t="s">
        <v>241</v>
      </c>
      <c r="F61" s="10" t="s">
        <v>242</v>
      </c>
      <c r="G61" s="10" t="s">
        <v>243</v>
      </c>
      <c r="H61" s="10" t="s">
        <v>16</v>
      </c>
    </row>
    <row r="62" customFormat="false" ht="15" hidden="false" customHeight="false" outlineLevel="0" collapsed="false">
      <c r="A62" s="10" t="n">
        <v>58</v>
      </c>
      <c r="B62" s="10" t="s">
        <v>133</v>
      </c>
      <c r="C62" s="10" t="s">
        <v>33</v>
      </c>
      <c r="D62" s="10" t="s">
        <v>244</v>
      </c>
      <c r="E62" s="10" t="s">
        <v>245</v>
      </c>
      <c r="F62" s="10" t="s">
        <v>246</v>
      </c>
      <c r="G62" s="10" t="s">
        <v>247</v>
      </c>
      <c r="H62" s="10" t="s">
        <v>16</v>
      </c>
    </row>
    <row r="63" customFormat="false" ht="15" hidden="false" customHeight="false" outlineLevel="0" collapsed="false">
      <c r="A63" s="10" t="n">
        <v>59</v>
      </c>
      <c r="B63" s="10" t="s">
        <v>133</v>
      </c>
      <c r="C63" s="10" t="s">
        <v>33</v>
      </c>
      <c r="D63" s="10" t="s">
        <v>248</v>
      </c>
      <c r="E63" s="10" t="s">
        <v>249</v>
      </c>
      <c r="F63" s="10" t="s">
        <v>250</v>
      </c>
      <c r="G63" s="10" t="s">
        <v>60</v>
      </c>
      <c r="H63" s="10" t="s">
        <v>16</v>
      </c>
    </row>
    <row r="64" customFormat="false" ht="23.85" hidden="false" customHeight="false" outlineLevel="0" collapsed="false">
      <c r="A64" s="10" t="n">
        <v>60</v>
      </c>
      <c r="B64" s="10" t="s">
        <v>133</v>
      </c>
      <c r="C64" s="10" t="s">
        <v>33</v>
      </c>
      <c r="D64" s="10" t="s">
        <v>251</v>
      </c>
      <c r="E64" s="10" t="s">
        <v>252</v>
      </c>
      <c r="F64" s="10" t="s">
        <v>253</v>
      </c>
      <c r="G64" s="10" t="s">
        <v>60</v>
      </c>
      <c r="H64" s="10" t="s">
        <v>16</v>
      </c>
    </row>
    <row r="65" customFormat="false" ht="15" hidden="false" customHeight="false" outlineLevel="0" collapsed="false">
      <c r="A65" s="10" t="n">
        <v>61</v>
      </c>
      <c r="B65" s="10" t="s">
        <v>133</v>
      </c>
      <c r="C65" s="10" t="s">
        <v>35</v>
      </c>
      <c r="D65" s="10" t="s">
        <v>254</v>
      </c>
      <c r="E65" s="10" t="s">
        <v>255</v>
      </c>
      <c r="F65" s="10" t="s">
        <v>256</v>
      </c>
      <c r="G65" s="10" t="s">
        <v>257</v>
      </c>
      <c r="H65" s="10" t="s">
        <v>16</v>
      </c>
    </row>
    <row r="66" customFormat="false" ht="15" hidden="false" customHeight="false" outlineLevel="0" collapsed="false">
      <c r="A66" s="10" t="n">
        <v>62</v>
      </c>
      <c r="B66" s="10" t="s">
        <v>133</v>
      </c>
      <c r="C66" s="10" t="s">
        <v>41</v>
      </c>
      <c r="D66" s="10" t="s">
        <v>258</v>
      </c>
      <c r="E66" s="10" t="s">
        <v>259</v>
      </c>
      <c r="F66" s="10" t="s">
        <v>260</v>
      </c>
      <c r="G66" s="10" t="s">
        <v>261</v>
      </c>
      <c r="H66" s="10" t="s">
        <v>16</v>
      </c>
    </row>
    <row r="67" customFormat="false" ht="15" hidden="false" customHeight="false" outlineLevel="0" collapsed="false">
      <c r="A67" s="10" t="n">
        <v>63</v>
      </c>
      <c r="B67" s="10" t="s">
        <v>133</v>
      </c>
      <c r="C67" s="10" t="s">
        <v>45</v>
      </c>
      <c r="D67" s="10" t="s">
        <v>262</v>
      </c>
      <c r="E67" s="10" t="s">
        <v>263</v>
      </c>
      <c r="F67" s="10" t="s">
        <v>264</v>
      </c>
      <c r="G67" s="10" t="s">
        <v>60</v>
      </c>
      <c r="H67" s="10" t="s">
        <v>16</v>
      </c>
    </row>
    <row r="68" customFormat="false" ht="15" hidden="false" customHeight="false" outlineLevel="0" collapsed="false">
      <c r="A68" s="10" t="n">
        <v>64</v>
      </c>
      <c r="B68" s="10" t="s">
        <v>133</v>
      </c>
      <c r="C68" s="10" t="s">
        <v>45</v>
      </c>
      <c r="D68" s="10" t="s">
        <v>265</v>
      </c>
      <c r="E68" s="10" t="s">
        <v>266</v>
      </c>
      <c r="F68" s="10" t="s">
        <v>267</v>
      </c>
      <c r="G68" s="10" t="s">
        <v>60</v>
      </c>
      <c r="H68" s="10" t="s">
        <v>16</v>
      </c>
    </row>
    <row r="69" customFormat="false" ht="15" hidden="false" customHeight="false" outlineLevel="0" collapsed="false">
      <c r="A69" s="10" t="n">
        <v>65</v>
      </c>
      <c r="B69" s="10" t="s">
        <v>268</v>
      </c>
      <c r="C69" s="10" t="s">
        <v>41</v>
      </c>
      <c r="D69" s="10" t="s">
        <v>269</v>
      </c>
      <c r="E69" s="10" t="s">
        <v>270</v>
      </c>
      <c r="F69" s="10" t="s">
        <v>271</v>
      </c>
      <c r="G69" s="10" t="s">
        <v>60</v>
      </c>
      <c r="H69" s="10" t="s">
        <v>17</v>
      </c>
    </row>
  </sheetData>
  <autoFilter ref="A4:H69"/>
  <conditionalFormatting sqref="A5:H69">
    <cfRule type="expression" priority="2" aboveAverage="0" equalAverage="0" bottom="0" percent="0" rank="0" text="" dxfId="5">
      <formula>$H5="Missing"</formula>
    </cfRule>
    <cfRule type="expression" priority="3" aboveAverage="0" equalAverage="0" bottom="0" percent="0" rank="0" text="" dxfId="6">
      <formula>$H5="Partial"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272</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25</v>
      </c>
      <c r="C5" s="10" t="s">
        <v>60</v>
      </c>
      <c r="D5" s="10" t="s">
        <v>280</v>
      </c>
      <c r="E5" s="10" t="s">
        <v>281</v>
      </c>
      <c r="F5" s="10" t="s">
        <v>282</v>
      </c>
      <c r="G5" s="10" t="s">
        <v>283</v>
      </c>
      <c r="H5" s="16" t="s">
        <v>15</v>
      </c>
      <c r="I5" s="10" t="s">
        <v>284</v>
      </c>
      <c r="J5" s="10" t="s">
        <v>60</v>
      </c>
      <c r="K5" s="10" t="s">
        <v>285</v>
      </c>
      <c r="L5" s="10"/>
    </row>
    <row r="6" customFormat="false" ht="35.05" hidden="false" customHeight="false" outlineLevel="0" collapsed="false">
      <c r="A6" s="10" t="n">
        <v>2</v>
      </c>
      <c r="B6" s="10" t="s">
        <v>25</v>
      </c>
      <c r="C6" s="10" t="s">
        <v>60</v>
      </c>
      <c r="D6" s="10" t="s">
        <v>286</v>
      </c>
      <c r="E6" s="10" t="s">
        <v>127</v>
      </c>
      <c r="F6" s="10" t="s">
        <v>287</v>
      </c>
      <c r="G6" s="10" t="s">
        <v>288</v>
      </c>
      <c r="H6" s="16" t="s">
        <v>16</v>
      </c>
      <c r="I6" s="10" t="s">
        <v>128</v>
      </c>
      <c r="J6" s="10" t="s">
        <v>129</v>
      </c>
      <c r="K6" s="10" t="s">
        <v>289</v>
      </c>
      <c r="L6" s="10"/>
    </row>
    <row r="7" customFormat="false" ht="23.85" hidden="false" customHeight="false" outlineLevel="0" collapsed="false">
      <c r="A7" s="10" t="n">
        <v>3</v>
      </c>
      <c r="B7" s="10" t="s">
        <v>25</v>
      </c>
      <c r="C7" s="10" t="s">
        <v>60</v>
      </c>
      <c r="D7" s="10" t="s">
        <v>286</v>
      </c>
      <c r="E7" s="10" t="s">
        <v>290</v>
      </c>
      <c r="F7" s="10" t="s">
        <v>291</v>
      </c>
      <c r="G7" s="10" t="s">
        <v>292</v>
      </c>
      <c r="H7" s="16" t="s">
        <v>15</v>
      </c>
      <c r="I7" s="10" t="s">
        <v>293</v>
      </c>
      <c r="J7" s="10" t="s">
        <v>60</v>
      </c>
      <c r="K7" s="10" t="s">
        <v>285</v>
      </c>
      <c r="L7" s="10"/>
    </row>
    <row r="8" customFormat="false" ht="23.85" hidden="false" customHeight="false" outlineLevel="0" collapsed="false">
      <c r="A8" s="10" t="n">
        <v>4</v>
      </c>
      <c r="B8" s="10" t="s">
        <v>25</v>
      </c>
      <c r="C8" s="10" t="s">
        <v>60</v>
      </c>
      <c r="D8" s="10" t="s">
        <v>294</v>
      </c>
      <c r="E8" s="10" t="s">
        <v>295</v>
      </c>
      <c r="F8" s="10" t="s">
        <v>296</v>
      </c>
      <c r="G8" s="10" t="s">
        <v>297</v>
      </c>
      <c r="H8" s="16" t="s">
        <v>15</v>
      </c>
      <c r="I8" s="10" t="s">
        <v>60</v>
      </c>
      <c r="J8" s="10" t="s">
        <v>298</v>
      </c>
      <c r="K8" s="10" t="s">
        <v>285</v>
      </c>
      <c r="L8" s="10"/>
    </row>
    <row r="9" customFormat="false" ht="23.85" hidden="false" customHeight="false" outlineLevel="0" collapsed="false">
      <c r="A9" s="10" t="n">
        <v>5</v>
      </c>
      <c r="B9" s="10" t="s">
        <v>25</v>
      </c>
      <c r="C9" s="10" t="s">
        <v>60</v>
      </c>
      <c r="D9" s="10" t="s">
        <v>294</v>
      </c>
      <c r="E9" s="10" t="s">
        <v>58</v>
      </c>
      <c r="F9" s="10" t="s">
        <v>299</v>
      </c>
      <c r="G9" s="10" t="s">
        <v>300</v>
      </c>
      <c r="H9" s="16" t="s">
        <v>17</v>
      </c>
      <c r="I9" s="10" t="s">
        <v>59</v>
      </c>
      <c r="J9" s="10" t="s">
        <v>60</v>
      </c>
      <c r="K9" s="10" t="s">
        <v>289</v>
      </c>
      <c r="L9" s="10"/>
    </row>
    <row r="10" customFormat="false" ht="23.85" hidden="false" customHeight="false" outlineLevel="0" collapsed="false">
      <c r="A10" s="10" t="n">
        <v>6</v>
      </c>
      <c r="B10" s="10" t="s">
        <v>25</v>
      </c>
      <c r="C10" s="10" t="s">
        <v>60</v>
      </c>
      <c r="D10" s="10" t="s">
        <v>294</v>
      </c>
      <c r="E10" s="10" t="s">
        <v>209</v>
      </c>
      <c r="F10" s="10" t="s">
        <v>301</v>
      </c>
      <c r="G10" s="10" t="s">
        <v>60</v>
      </c>
      <c r="H10" s="16" t="s">
        <v>16</v>
      </c>
      <c r="I10" s="10" t="s">
        <v>210</v>
      </c>
      <c r="J10" s="10" t="s">
        <v>60</v>
      </c>
      <c r="K10" s="10" t="s">
        <v>289</v>
      </c>
      <c r="L10" s="10"/>
    </row>
    <row r="11" customFormat="false" ht="15" hidden="false" customHeight="false" outlineLevel="0" collapsed="false">
      <c r="A11" s="10" t="n">
        <v>7</v>
      </c>
      <c r="B11" s="10" t="s">
        <v>25</v>
      </c>
      <c r="C11" s="10" t="s">
        <v>60</v>
      </c>
      <c r="D11" s="10" t="s">
        <v>294</v>
      </c>
      <c r="E11" s="10" t="s">
        <v>61</v>
      </c>
      <c r="F11" s="10" t="s">
        <v>302</v>
      </c>
      <c r="G11" s="10" t="s">
        <v>60</v>
      </c>
      <c r="H11" s="16" t="s">
        <v>17</v>
      </c>
      <c r="I11" s="10" t="s">
        <v>62</v>
      </c>
      <c r="J11" s="10" t="s">
        <v>60</v>
      </c>
      <c r="K11" s="10" t="s">
        <v>289</v>
      </c>
      <c r="L11" s="10"/>
    </row>
    <row r="12" customFormat="false" ht="23.85" hidden="false" customHeight="false" outlineLevel="0" collapsed="false">
      <c r="A12" s="10" t="n">
        <v>8</v>
      </c>
      <c r="B12" s="10" t="s">
        <v>25</v>
      </c>
      <c r="C12" s="10" t="s">
        <v>60</v>
      </c>
      <c r="D12" s="10" t="s">
        <v>294</v>
      </c>
      <c r="E12" s="10" t="s">
        <v>63</v>
      </c>
      <c r="F12" s="10" t="s">
        <v>303</v>
      </c>
      <c r="G12" s="10" t="s">
        <v>304</v>
      </c>
      <c r="H12" s="16" t="s">
        <v>17</v>
      </c>
      <c r="I12" s="10" t="s">
        <v>64</v>
      </c>
      <c r="J12" s="10" t="s">
        <v>60</v>
      </c>
      <c r="K12" s="10" t="s">
        <v>289</v>
      </c>
      <c r="L12" s="10"/>
    </row>
    <row r="13" customFormat="false" ht="23.85" hidden="false" customHeight="false" outlineLevel="0" collapsed="false">
      <c r="A13" s="10" t="n">
        <v>9</v>
      </c>
      <c r="B13" s="10" t="s">
        <v>25</v>
      </c>
      <c r="C13" s="10" t="s">
        <v>60</v>
      </c>
      <c r="D13" s="10" t="s">
        <v>294</v>
      </c>
      <c r="E13" s="10" t="s">
        <v>211</v>
      </c>
      <c r="F13" s="10" t="s">
        <v>305</v>
      </c>
      <c r="G13" s="10" t="s">
        <v>306</v>
      </c>
      <c r="H13" s="16" t="s">
        <v>16</v>
      </c>
      <c r="I13" s="10" t="s">
        <v>212</v>
      </c>
      <c r="J13" s="10" t="s">
        <v>213</v>
      </c>
      <c r="K13" s="10" t="s">
        <v>289</v>
      </c>
      <c r="L13" s="10"/>
    </row>
    <row r="14" customFormat="false" ht="35.05" hidden="false" customHeight="false" outlineLevel="0" collapsed="false">
      <c r="A14" s="10" t="n">
        <v>10</v>
      </c>
      <c r="B14" s="10" t="s">
        <v>25</v>
      </c>
      <c r="C14" s="10" t="s">
        <v>60</v>
      </c>
      <c r="D14" s="10" t="s">
        <v>307</v>
      </c>
      <c r="E14" s="10" t="s">
        <v>214</v>
      </c>
      <c r="F14" s="10" t="s">
        <v>308</v>
      </c>
      <c r="G14" s="10" t="s">
        <v>309</v>
      </c>
      <c r="H14" s="16" t="s">
        <v>16</v>
      </c>
      <c r="I14" s="10" t="s">
        <v>215</v>
      </c>
      <c r="J14" s="10" t="s">
        <v>216</v>
      </c>
      <c r="K14" s="10" t="s">
        <v>289</v>
      </c>
      <c r="L14" s="10"/>
    </row>
    <row r="15" customFormat="false" ht="15" hidden="false" customHeight="false" outlineLevel="0" collapsed="false">
      <c r="A15" s="10" t="n">
        <v>11</v>
      </c>
      <c r="B15" s="10" t="s">
        <v>25</v>
      </c>
      <c r="C15" s="10" t="s">
        <v>60</v>
      </c>
      <c r="D15" s="10" t="s">
        <v>310</v>
      </c>
      <c r="E15" s="10" t="s">
        <v>65</v>
      </c>
      <c r="F15" s="10" t="s">
        <v>311</v>
      </c>
      <c r="G15" s="10" t="s">
        <v>60</v>
      </c>
      <c r="H15" s="16" t="s">
        <v>17</v>
      </c>
      <c r="I15" s="10" t="s">
        <v>66</v>
      </c>
      <c r="J15" s="10" t="s">
        <v>60</v>
      </c>
      <c r="K15" s="10" t="s">
        <v>289</v>
      </c>
      <c r="L15" s="10"/>
    </row>
  </sheetData>
  <autoFilter ref="A4:L15"/>
  <conditionalFormatting sqref="A5:L15">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5"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312</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35.05" hidden="false" customHeight="false" outlineLevel="0" collapsed="false">
      <c r="A5" s="10" t="n">
        <v>1</v>
      </c>
      <c r="B5" s="10" t="s">
        <v>26</v>
      </c>
      <c r="C5" s="10" t="s">
        <v>313</v>
      </c>
      <c r="D5" s="10" t="s">
        <v>314</v>
      </c>
      <c r="E5" s="10" t="s">
        <v>315</v>
      </c>
      <c r="F5" s="10" t="s">
        <v>316</v>
      </c>
      <c r="G5" s="10" t="s">
        <v>317</v>
      </c>
      <c r="H5" s="16" t="s">
        <v>15</v>
      </c>
      <c r="I5" s="10" t="s">
        <v>318</v>
      </c>
      <c r="J5" s="10" t="s">
        <v>319</v>
      </c>
      <c r="K5" s="10" t="s">
        <v>285</v>
      </c>
      <c r="L5" s="10"/>
    </row>
    <row r="6" customFormat="false" ht="23.85" hidden="false" customHeight="false" outlineLevel="0" collapsed="false">
      <c r="A6" s="10" t="n">
        <v>2</v>
      </c>
      <c r="B6" s="10" t="s">
        <v>26</v>
      </c>
      <c r="C6" s="10" t="s">
        <v>313</v>
      </c>
      <c r="D6" s="10" t="s">
        <v>314</v>
      </c>
      <c r="E6" s="10" t="s">
        <v>217</v>
      </c>
      <c r="F6" s="10" t="s">
        <v>320</v>
      </c>
      <c r="G6" s="10" t="s">
        <v>321</v>
      </c>
      <c r="H6" s="16" t="s">
        <v>16</v>
      </c>
      <c r="I6" s="10" t="s">
        <v>218</v>
      </c>
      <c r="J6" s="10" t="s">
        <v>219</v>
      </c>
      <c r="K6" s="10" t="s">
        <v>289</v>
      </c>
      <c r="L6" s="10"/>
    </row>
    <row r="7" customFormat="false" ht="35.05" hidden="false" customHeight="false" outlineLevel="0" collapsed="false">
      <c r="A7" s="10" t="n">
        <v>3</v>
      </c>
      <c r="B7" s="10" t="s">
        <v>26</v>
      </c>
      <c r="C7" s="10" t="s">
        <v>313</v>
      </c>
      <c r="D7" s="10" t="s">
        <v>322</v>
      </c>
      <c r="E7" s="10" t="s">
        <v>323</v>
      </c>
      <c r="F7" s="10" t="s">
        <v>324</v>
      </c>
      <c r="G7" s="10" t="s">
        <v>325</v>
      </c>
      <c r="H7" s="16" t="s">
        <v>15</v>
      </c>
      <c r="I7" s="10" t="s">
        <v>60</v>
      </c>
      <c r="J7" s="10" t="s">
        <v>60</v>
      </c>
      <c r="K7" s="10" t="s">
        <v>285</v>
      </c>
      <c r="L7" s="10"/>
    </row>
    <row r="8" customFormat="false" ht="35.05" hidden="false" customHeight="false" outlineLevel="0" collapsed="false">
      <c r="A8" s="10" t="n">
        <v>4</v>
      </c>
      <c r="B8" s="10" t="s">
        <v>26</v>
      </c>
      <c r="C8" s="10" t="s">
        <v>313</v>
      </c>
      <c r="D8" s="10" t="s">
        <v>326</v>
      </c>
      <c r="E8" s="10" t="s">
        <v>67</v>
      </c>
      <c r="F8" s="10" t="s">
        <v>327</v>
      </c>
      <c r="G8" s="10" t="s">
        <v>328</v>
      </c>
      <c r="H8" s="16" t="s">
        <v>17</v>
      </c>
      <c r="I8" s="10" t="s">
        <v>68</v>
      </c>
      <c r="J8" s="10" t="s">
        <v>69</v>
      </c>
      <c r="K8" s="10" t="s">
        <v>289</v>
      </c>
      <c r="L8" s="10"/>
    </row>
    <row r="9" customFormat="false" ht="15" hidden="false" customHeight="false" outlineLevel="0" collapsed="false">
      <c r="A9" s="10" t="n">
        <v>5</v>
      </c>
      <c r="B9" s="10" t="s">
        <v>26</v>
      </c>
      <c r="C9" s="10" t="s">
        <v>313</v>
      </c>
      <c r="D9" s="10" t="s">
        <v>329</v>
      </c>
      <c r="E9" s="10" t="s">
        <v>330</v>
      </c>
      <c r="F9" s="10" t="s">
        <v>331</v>
      </c>
      <c r="G9" s="10" t="s">
        <v>332</v>
      </c>
      <c r="H9" s="16" t="s">
        <v>15</v>
      </c>
      <c r="I9" s="10" t="s">
        <v>60</v>
      </c>
      <c r="J9" s="10" t="s">
        <v>333</v>
      </c>
      <c r="K9" s="10" t="s">
        <v>285</v>
      </c>
      <c r="L9" s="10"/>
    </row>
    <row r="10" customFormat="false" ht="15" hidden="false" customHeight="false" outlineLevel="0" collapsed="false">
      <c r="A10" s="10" t="n">
        <v>6</v>
      </c>
      <c r="B10" s="10" t="s">
        <v>26</v>
      </c>
      <c r="C10" s="10" t="s">
        <v>313</v>
      </c>
      <c r="D10" s="10" t="s">
        <v>334</v>
      </c>
      <c r="E10" s="10" t="s">
        <v>335</v>
      </c>
      <c r="F10" s="10" t="s">
        <v>336</v>
      </c>
      <c r="G10" s="10" t="s">
        <v>337</v>
      </c>
      <c r="H10" s="16" t="s">
        <v>15</v>
      </c>
      <c r="I10" s="10" t="s">
        <v>60</v>
      </c>
      <c r="J10" s="10" t="s">
        <v>338</v>
      </c>
      <c r="K10" s="10" t="s">
        <v>285</v>
      </c>
      <c r="L10" s="10"/>
    </row>
    <row r="11" customFormat="false" ht="15" hidden="false" customHeight="false" outlineLevel="0" collapsed="false">
      <c r="A11" s="10" t="n">
        <v>7</v>
      </c>
      <c r="B11" s="10" t="s">
        <v>26</v>
      </c>
      <c r="C11" s="10" t="s">
        <v>313</v>
      </c>
      <c r="D11" s="10" t="s">
        <v>334</v>
      </c>
      <c r="E11" s="10" t="s">
        <v>339</v>
      </c>
      <c r="F11" s="10" t="s">
        <v>340</v>
      </c>
      <c r="G11" s="10" t="s">
        <v>341</v>
      </c>
      <c r="H11" s="16" t="s">
        <v>15</v>
      </c>
      <c r="I11" s="10" t="s">
        <v>60</v>
      </c>
      <c r="J11" s="10" t="s">
        <v>342</v>
      </c>
      <c r="K11" s="10" t="s">
        <v>285</v>
      </c>
      <c r="L11" s="10"/>
    </row>
    <row r="12" customFormat="false" ht="15" hidden="false" customHeight="false" outlineLevel="0" collapsed="false">
      <c r="A12" s="10" t="n">
        <v>8</v>
      </c>
      <c r="B12" s="10" t="s">
        <v>26</v>
      </c>
      <c r="C12" s="10" t="s">
        <v>313</v>
      </c>
      <c r="D12" s="10" t="s">
        <v>334</v>
      </c>
      <c r="E12" s="10" t="s">
        <v>343</v>
      </c>
      <c r="F12" s="10" t="s">
        <v>344</v>
      </c>
      <c r="G12" s="10" t="s">
        <v>345</v>
      </c>
      <c r="H12" s="16" t="s">
        <v>15</v>
      </c>
      <c r="I12" s="10" t="s">
        <v>60</v>
      </c>
      <c r="J12" s="10" t="s">
        <v>346</v>
      </c>
      <c r="K12" s="10" t="s">
        <v>285</v>
      </c>
      <c r="L12" s="10"/>
    </row>
    <row r="13" customFormat="false" ht="15" hidden="false" customHeight="false" outlineLevel="0" collapsed="false">
      <c r="A13" s="10" t="n">
        <v>9</v>
      </c>
      <c r="B13" s="10" t="s">
        <v>26</v>
      </c>
      <c r="C13" s="10" t="s">
        <v>313</v>
      </c>
      <c r="D13" s="10" t="s">
        <v>347</v>
      </c>
      <c r="E13" s="10" t="s">
        <v>348</v>
      </c>
      <c r="F13" s="10" t="s">
        <v>349</v>
      </c>
      <c r="G13" s="10" t="s">
        <v>350</v>
      </c>
      <c r="H13" s="16" t="s">
        <v>15</v>
      </c>
      <c r="I13" s="10" t="s">
        <v>60</v>
      </c>
      <c r="J13" s="10" t="s">
        <v>60</v>
      </c>
      <c r="K13" s="10" t="s">
        <v>285</v>
      </c>
      <c r="L13" s="10"/>
    </row>
    <row r="14" customFormat="false" ht="15" hidden="false" customHeight="false" outlineLevel="0" collapsed="false">
      <c r="A14" s="10" t="n">
        <v>10</v>
      </c>
      <c r="B14" s="10" t="s">
        <v>26</v>
      </c>
      <c r="C14" s="10" t="s">
        <v>313</v>
      </c>
      <c r="D14" s="10" t="s">
        <v>83</v>
      </c>
      <c r="E14" s="10" t="s">
        <v>70</v>
      </c>
      <c r="F14" s="10" t="s">
        <v>351</v>
      </c>
      <c r="G14" s="10" t="s">
        <v>328</v>
      </c>
      <c r="H14" s="16" t="s">
        <v>17</v>
      </c>
      <c r="I14" s="10" t="s">
        <v>71</v>
      </c>
      <c r="J14" s="10" t="s">
        <v>72</v>
      </c>
      <c r="K14" s="10" t="s">
        <v>289</v>
      </c>
      <c r="L14" s="10"/>
    </row>
    <row r="15" customFormat="false" ht="23.85" hidden="false" customHeight="false" outlineLevel="0" collapsed="false">
      <c r="A15" s="10" t="n">
        <v>11</v>
      </c>
      <c r="B15" s="10" t="s">
        <v>26</v>
      </c>
      <c r="C15" s="10" t="s">
        <v>313</v>
      </c>
      <c r="D15" s="10" t="s">
        <v>352</v>
      </c>
      <c r="E15" s="10" t="s">
        <v>73</v>
      </c>
      <c r="F15" s="10" t="s">
        <v>353</v>
      </c>
      <c r="G15" s="10" t="s">
        <v>328</v>
      </c>
      <c r="H15" s="16" t="s">
        <v>17</v>
      </c>
      <c r="I15" s="10" t="s">
        <v>74</v>
      </c>
      <c r="J15" s="10" t="s">
        <v>75</v>
      </c>
      <c r="K15" s="10" t="s">
        <v>289</v>
      </c>
      <c r="L15" s="10"/>
    </row>
    <row r="16" customFormat="false" ht="23.85" hidden="false" customHeight="false" outlineLevel="0" collapsed="false">
      <c r="A16" s="10" t="n">
        <v>12</v>
      </c>
      <c r="B16" s="10" t="s">
        <v>26</v>
      </c>
      <c r="C16" s="10" t="s">
        <v>313</v>
      </c>
      <c r="D16" s="10" t="s">
        <v>354</v>
      </c>
      <c r="E16" s="10" t="s">
        <v>220</v>
      </c>
      <c r="F16" s="10" t="s">
        <v>355</v>
      </c>
      <c r="G16" s="10" t="s">
        <v>328</v>
      </c>
      <c r="H16" s="16" t="s">
        <v>16</v>
      </c>
      <c r="I16" s="10" t="s">
        <v>221</v>
      </c>
      <c r="J16" s="10" t="s">
        <v>222</v>
      </c>
      <c r="K16" s="10" t="s">
        <v>289</v>
      </c>
      <c r="L16" s="10"/>
    </row>
    <row r="17" customFormat="false" ht="15" hidden="false" customHeight="false" outlineLevel="0" collapsed="false">
      <c r="A17" s="10" t="n">
        <v>13</v>
      </c>
      <c r="B17" s="10" t="s">
        <v>26</v>
      </c>
      <c r="C17" s="10" t="s">
        <v>313</v>
      </c>
      <c r="D17" s="10" t="s">
        <v>157</v>
      </c>
      <c r="E17" s="10" t="s">
        <v>76</v>
      </c>
      <c r="F17" s="10" t="s">
        <v>356</v>
      </c>
      <c r="G17" s="10" t="s">
        <v>357</v>
      </c>
      <c r="H17" s="16" t="s">
        <v>17</v>
      </c>
      <c r="I17" s="10" t="s">
        <v>77</v>
      </c>
      <c r="J17" s="10" t="s">
        <v>78</v>
      </c>
      <c r="K17" s="10" t="s">
        <v>289</v>
      </c>
      <c r="L17" s="10"/>
    </row>
    <row r="18" customFormat="false" ht="15" hidden="false" customHeight="false" outlineLevel="0" collapsed="false">
      <c r="A18" s="10" t="n">
        <v>14</v>
      </c>
      <c r="B18" s="10" t="s">
        <v>26</v>
      </c>
      <c r="C18" s="10" t="s">
        <v>313</v>
      </c>
      <c r="D18" s="10" t="s">
        <v>358</v>
      </c>
      <c r="E18" s="10" t="s">
        <v>359</v>
      </c>
      <c r="F18" s="10" t="s">
        <v>360</v>
      </c>
      <c r="G18" s="10" t="s">
        <v>361</v>
      </c>
      <c r="H18" s="16" t="s">
        <v>15</v>
      </c>
      <c r="I18" s="10" t="s">
        <v>60</v>
      </c>
      <c r="J18" s="10" t="s">
        <v>60</v>
      </c>
      <c r="K18" s="10" t="s">
        <v>285</v>
      </c>
      <c r="L18" s="10"/>
    </row>
    <row r="19" customFormat="false" ht="15" hidden="false" customHeight="false" outlineLevel="0" collapsed="false">
      <c r="A19" s="10" t="n">
        <v>15</v>
      </c>
      <c r="B19" s="10" t="s">
        <v>26</v>
      </c>
      <c r="C19" s="10" t="s">
        <v>313</v>
      </c>
      <c r="D19" s="10" t="s">
        <v>362</v>
      </c>
      <c r="E19" s="10" t="s">
        <v>245</v>
      </c>
      <c r="F19" s="10" t="s">
        <v>363</v>
      </c>
      <c r="G19" s="10" t="s">
        <v>364</v>
      </c>
      <c r="H19" s="16" t="s">
        <v>15</v>
      </c>
      <c r="I19" s="10" t="s">
        <v>60</v>
      </c>
      <c r="J19" s="10" t="s">
        <v>365</v>
      </c>
      <c r="K19" s="10" t="s">
        <v>285</v>
      </c>
      <c r="L19" s="10"/>
    </row>
  </sheetData>
  <autoFilter ref="A4:L19"/>
  <conditionalFormatting sqref="A5:L19">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9"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366</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79</v>
      </c>
      <c r="C5" s="10" t="s">
        <v>367</v>
      </c>
      <c r="D5" s="10" t="s">
        <v>314</v>
      </c>
      <c r="E5" s="10" t="s">
        <v>368</v>
      </c>
      <c r="F5" s="10" t="s">
        <v>369</v>
      </c>
      <c r="G5" s="10" t="s">
        <v>370</v>
      </c>
      <c r="H5" s="16" t="s">
        <v>15</v>
      </c>
      <c r="I5" s="10" t="s">
        <v>60</v>
      </c>
      <c r="J5" s="10" t="s">
        <v>371</v>
      </c>
      <c r="K5" s="10" t="s">
        <v>285</v>
      </c>
      <c r="L5" s="10"/>
    </row>
    <row r="6" customFormat="false" ht="23.85" hidden="false" customHeight="false" outlineLevel="0" collapsed="false">
      <c r="A6" s="10" t="n">
        <v>2</v>
      </c>
      <c r="B6" s="10" t="s">
        <v>79</v>
      </c>
      <c r="C6" s="10" t="s">
        <v>367</v>
      </c>
      <c r="D6" s="10" t="s">
        <v>372</v>
      </c>
      <c r="E6" s="10" t="s">
        <v>80</v>
      </c>
      <c r="F6" s="10" t="s">
        <v>373</v>
      </c>
      <c r="G6" s="10" t="s">
        <v>374</v>
      </c>
      <c r="H6" s="16" t="s">
        <v>17</v>
      </c>
      <c r="I6" s="10" t="s">
        <v>81</v>
      </c>
      <c r="J6" s="10" t="s">
        <v>82</v>
      </c>
      <c r="K6" s="10" t="s">
        <v>289</v>
      </c>
      <c r="L6" s="10"/>
    </row>
    <row r="7" customFormat="false" ht="15" hidden="false" customHeight="false" outlineLevel="0" collapsed="false">
      <c r="A7" s="10" t="n">
        <v>3</v>
      </c>
      <c r="B7" s="10" t="s">
        <v>79</v>
      </c>
      <c r="C7" s="10" t="s">
        <v>367</v>
      </c>
      <c r="D7" s="10" t="s">
        <v>372</v>
      </c>
      <c r="E7" s="10" t="s">
        <v>375</v>
      </c>
      <c r="F7" s="10" t="s">
        <v>376</v>
      </c>
      <c r="G7" s="10" t="s">
        <v>377</v>
      </c>
      <c r="H7" s="16" t="s">
        <v>15</v>
      </c>
      <c r="I7" s="10" t="s">
        <v>60</v>
      </c>
      <c r="J7" s="10" t="s">
        <v>60</v>
      </c>
      <c r="K7" s="10" t="s">
        <v>285</v>
      </c>
      <c r="L7" s="10"/>
    </row>
    <row r="8" customFormat="false" ht="15" hidden="false" customHeight="false" outlineLevel="0" collapsed="false">
      <c r="A8" s="10" t="n">
        <v>4</v>
      </c>
      <c r="B8" s="10" t="s">
        <v>378</v>
      </c>
      <c r="C8" s="10" t="s">
        <v>379</v>
      </c>
      <c r="D8" s="10" t="s">
        <v>372</v>
      </c>
      <c r="E8" s="10" t="s">
        <v>380</v>
      </c>
      <c r="F8" s="10" t="s">
        <v>381</v>
      </c>
      <c r="G8" s="10" t="s">
        <v>382</v>
      </c>
      <c r="H8" s="16" t="s">
        <v>15</v>
      </c>
      <c r="I8" s="10" t="s">
        <v>60</v>
      </c>
      <c r="J8" s="10" t="s">
        <v>60</v>
      </c>
      <c r="K8" s="10" t="s">
        <v>285</v>
      </c>
      <c r="L8" s="10"/>
    </row>
    <row r="9" customFormat="false" ht="15" hidden="false" customHeight="false" outlineLevel="0" collapsed="false">
      <c r="A9" s="10" t="n">
        <v>5</v>
      </c>
      <c r="B9" s="10" t="s">
        <v>378</v>
      </c>
      <c r="C9" s="10" t="s">
        <v>379</v>
      </c>
      <c r="D9" s="10" t="s">
        <v>372</v>
      </c>
      <c r="E9" s="10" t="s">
        <v>383</v>
      </c>
      <c r="F9" s="10" t="s">
        <v>384</v>
      </c>
      <c r="G9" s="10" t="s">
        <v>385</v>
      </c>
      <c r="H9" s="16" t="s">
        <v>15</v>
      </c>
      <c r="I9" s="10" t="s">
        <v>60</v>
      </c>
      <c r="J9" s="10" t="s">
        <v>386</v>
      </c>
      <c r="K9" s="10" t="s">
        <v>285</v>
      </c>
      <c r="L9" s="10"/>
    </row>
    <row r="10" customFormat="false" ht="23.85" hidden="false" customHeight="false" outlineLevel="0" collapsed="false">
      <c r="A10" s="10" t="n">
        <v>6</v>
      </c>
      <c r="B10" s="10" t="s">
        <v>387</v>
      </c>
      <c r="C10" s="10" t="s">
        <v>388</v>
      </c>
      <c r="D10" s="10" t="s">
        <v>372</v>
      </c>
      <c r="E10" s="10" t="s">
        <v>389</v>
      </c>
      <c r="F10" s="10" t="s">
        <v>390</v>
      </c>
      <c r="G10" s="10" t="s">
        <v>391</v>
      </c>
      <c r="H10" s="16" t="s">
        <v>15</v>
      </c>
      <c r="I10" s="10" t="s">
        <v>60</v>
      </c>
      <c r="J10" s="10" t="s">
        <v>60</v>
      </c>
      <c r="K10" s="10" t="s">
        <v>285</v>
      </c>
      <c r="L10" s="10"/>
    </row>
    <row r="11" customFormat="false" ht="23.85" hidden="false" customHeight="false" outlineLevel="0" collapsed="false">
      <c r="A11" s="10" t="n">
        <v>7</v>
      </c>
      <c r="B11" s="10" t="s">
        <v>83</v>
      </c>
      <c r="C11" s="10" t="s">
        <v>392</v>
      </c>
      <c r="D11" s="10" t="s">
        <v>372</v>
      </c>
      <c r="E11" s="10" t="s">
        <v>84</v>
      </c>
      <c r="F11" s="10" t="s">
        <v>393</v>
      </c>
      <c r="G11" s="10" t="s">
        <v>328</v>
      </c>
      <c r="H11" s="16" t="s">
        <v>17</v>
      </c>
      <c r="I11" s="10" t="s">
        <v>85</v>
      </c>
      <c r="J11" s="10" t="s">
        <v>72</v>
      </c>
      <c r="K11" s="10" t="s">
        <v>289</v>
      </c>
      <c r="L11" s="10"/>
    </row>
    <row r="12" customFormat="false" ht="23.85" hidden="false" customHeight="false" outlineLevel="0" collapsed="false">
      <c r="A12" s="10" t="n">
        <v>8</v>
      </c>
      <c r="B12" s="10" t="s">
        <v>83</v>
      </c>
      <c r="C12" s="10" t="s">
        <v>392</v>
      </c>
      <c r="D12" s="10" t="s">
        <v>372</v>
      </c>
      <c r="E12" s="10" t="s">
        <v>86</v>
      </c>
      <c r="F12" s="10" t="s">
        <v>394</v>
      </c>
      <c r="G12" s="10" t="s">
        <v>328</v>
      </c>
      <c r="H12" s="16" t="s">
        <v>17</v>
      </c>
      <c r="I12" s="10" t="s">
        <v>87</v>
      </c>
      <c r="J12" s="10" t="s">
        <v>88</v>
      </c>
      <c r="K12" s="10" t="s">
        <v>289</v>
      </c>
      <c r="L12" s="10"/>
    </row>
    <row r="13" customFormat="false" ht="15" hidden="false" customHeight="false" outlineLevel="0" collapsed="false">
      <c r="A13" s="10" t="n">
        <v>9</v>
      </c>
      <c r="B13" s="10" t="s">
        <v>89</v>
      </c>
      <c r="C13" s="10" t="s">
        <v>395</v>
      </c>
      <c r="D13" s="10" t="s">
        <v>372</v>
      </c>
      <c r="E13" s="10" t="s">
        <v>396</v>
      </c>
      <c r="F13" s="10" t="s">
        <v>397</v>
      </c>
      <c r="G13" s="10" t="s">
        <v>398</v>
      </c>
      <c r="H13" s="16" t="s">
        <v>15</v>
      </c>
      <c r="I13" s="10" t="s">
        <v>60</v>
      </c>
      <c r="J13" s="10" t="s">
        <v>60</v>
      </c>
      <c r="K13" s="10" t="s">
        <v>285</v>
      </c>
      <c r="L13" s="10"/>
    </row>
    <row r="14" customFormat="false" ht="23.85" hidden="false" customHeight="false" outlineLevel="0" collapsed="false">
      <c r="A14" s="10" t="n">
        <v>10</v>
      </c>
      <c r="B14" s="10" t="s">
        <v>89</v>
      </c>
      <c r="C14" s="10" t="s">
        <v>395</v>
      </c>
      <c r="D14" s="10" t="s">
        <v>372</v>
      </c>
      <c r="E14" s="10" t="s">
        <v>90</v>
      </c>
      <c r="F14" s="10" t="s">
        <v>399</v>
      </c>
      <c r="G14" s="10" t="s">
        <v>400</v>
      </c>
      <c r="H14" s="16" t="s">
        <v>17</v>
      </c>
      <c r="I14" s="10" t="s">
        <v>91</v>
      </c>
      <c r="J14" s="10" t="s">
        <v>92</v>
      </c>
      <c r="K14" s="10" t="s">
        <v>289</v>
      </c>
      <c r="L14" s="10"/>
    </row>
    <row r="15" customFormat="false" ht="23.85" hidden="false" customHeight="false" outlineLevel="0" collapsed="false">
      <c r="A15" s="10" t="n">
        <v>11</v>
      </c>
      <c r="B15" s="10" t="s">
        <v>223</v>
      </c>
      <c r="C15" s="10" t="s">
        <v>401</v>
      </c>
      <c r="D15" s="10" t="s">
        <v>372</v>
      </c>
      <c r="E15" s="10" t="s">
        <v>224</v>
      </c>
      <c r="F15" s="10" t="s">
        <v>402</v>
      </c>
      <c r="G15" s="10" t="s">
        <v>403</v>
      </c>
      <c r="H15" s="16" t="s">
        <v>16</v>
      </c>
      <c r="I15" s="10" t="s">
        <v>225</v>
      </c>
      <c r="J15" s="10" t="s">
        <v>226</v>
      </c>
      <c r="K15" s="10" t="s">
        <v>289</v>
      </c>
      <c r="L15" s="10"/>
    </row>
    <row r="16" customFormat="false" ht="15" hidden="false" customHeight="false" outlineLevel="0" collapsed="false">
      <c r="A16" s="10" t="n">
        <v>12</v>
      </c>
      <c r="B16" s="10" t="s">
        <v>227</v>
      </c>
      <c r="C16" s="10" t="s">
        <v>404</v>
      </c>
      <c r="D16" s="10" t="s">
        <v>372</v>
      </c>
      <c r="E16" s="10" t="s">
        <v>228</v>
      </c>
      <c r="F16" s="10" t="s">
        <v>405</v>
      </c>
      <c r="G16" s="10" t="s">
        <v>406</v>
      </c>
      <c r="H16" s="16" t="s">
        <v>16</v>
      </c>
      <c r="I16" s="10" t="s">
        <v>229</v>
      </c>
      <c r="J16" s="10" t="s">
        <v>230</v>
      </c>
      <c r="K16" s="10" t="s">
        <v>289</v>
      </c>
      <c r="L16" s="10"/>
    </row>
  </sheetData>
  <autoFilter ref="A4:L16"/>
  <conditionalFormatting sqref="A5:L16">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6"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407</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15" hidden="false" customHeight="false" outlineLevel="0" collapsed="false">
      <c r="A5" s="10" t="n">
        <v>1</v>
      </c>
      <c r="B5" s="10" t="s">
        <v>408</v>
      </c>
      <c r="C5" s="10" t="s">
        <v>409</v>
      </c>
      <c r="D5" s="10" t="s">
        <v>314</v>
      </c>
      <c r="E5" s="10" t="s">
        <v>322</v>
      </c>
      <c r="F5" s="10" t="s">
        <v>410</v>
      </c>
      <c r="G5" s="10" t="s">
        <v>411</v>
      </c>
      <c r="H5" s="16" t="s">
        <v>15</v>
      </c>
      <c r="I5" s="10" t="s">
        <v>60</v>
      </c>
      <c r="J5" s="10" t="s">
        <v>338</v>
      </c>
      <c r="K5" s="10" t="s">
        <v>285</v>
      </c>
      <c r="L5" s="10"/>
    </row>
    <row r="6" customFormat="false" ht="15" hidden="false" customHeight="false" outlineLevel="0" collapsed="false">
      <c r="A6" s="10" t="n">
        <v>2</v>
      </c>
      <c r="B6" s="10" t="s">
        <v>408</v>
      </c>
      <c r="C6" s="10" t="s">
        <v>409</v>
      </c>
      <c r="D6" s="10" t="s">
        <v>372</v>
      </c>
      <c r="E6" s="10" t="s">
        <v>412</v>
      </c>
      <c r="F6" s="10" t="s">
        <v>413</v>
      </c>
      <c r="G6" s="10" t="s">
        <v>414</v>
      </c>
      <c r="H6" s="16" t="s">
        <v>15</v>
      </c>
      <c r="I6" s="10" t="s">
        <v>60</v>
      </c>
      <c r="J6" s="10" t="s">
        <v>60</v>
      </c>
      <c r="K6" s="10" t="s">
        <v>285</v>
      </c>
      <c r="L6" s="10"/>
    </row>
    <row r="7" customFormat="false" ht="15" hidden="false" customHeight="false" outlineLevel="0" collapsed="false">
      <c r="A7" s="10" t="n">
        <v>3</v>
      </c>
      <c r="B7" s="10" t="s">
        <v>408</v>
      </c>
      <c r="C7" s="10" t="s">
        <v>409</v>
      </c>
      <c r="D7" s="10" t="s">
        <v>372</v>
      </c>
      <c r="E7" s="10" t="s">
        <v>415</v>
      </c>
      <c r="F7" s="10" t="s">
        <v>416</v>
      </c>
      <c r="G7" s="10" t="s">
        <v>417</v>
      </c>
      <c r="H7" s="16" t="s">
        <v>15</v>
      </c>
      <c r="I7" s="10" t="s">
        <v>60</v>
      </c>
      <c r="J7" s="10" t="s">
        <v>60</v>
      </c>
      <c r="K7" s="10" t="s">
        <v>285</v>
      </c>
      <c r="L7" s="10"/>
    </row>
    <row r="8" customFormat="false" ht="15" hidden="false" customHeight="false" outlineLevel="0" collapsed="false">
      <c r="A8" s="10" t="n">
        <v>4</v>
      </c>
      <c r="B8" s="10" t="s">
        <v>418</v>
      </c>
      <c r="C8" s="10" t="s">
        <v>419</v>
      </c>
      <c r="D8" s="10" t="s">
        <v>372</v>
      </c>
      <c r="E8" s="10" t="s">
        <v>420</v>
      </c>
      <c r="F8" s="10" t="s">
        <v>421</v>
      </c>
      <c r="G8" s="10" t="s">
        <v>422</v>
      </c>
      <c r="H8" s="16" t="s">
        <v>15</v>
      </c>
      <c r="I8" s="10" t="s">
        <v>60</v>
      </c>
      <c r="J8" s="10" t="s">
        <v>423</v>
      </c>
      <c r="K8" s="10" t="s">
        <v>285</v>
      </c>
      <c r="L8" s="10"/>
    </row>
    <row r="9" customFormat="false" ht="23.85" hidden="false" customHeight="false" outlineLevel="0" collapsed="false">
      <c r="A9" s="10" t="n">
        <v>5</v>
      </c>
      <c r="B9" s="10" t="s">
        <v>418</v>
      </c>
      <c r="C9" s="10" t="s">
        <v>419</v>
      </c>
      <c r="D9" s="10" t="s">
        <v>372</v>
      </c>
      <c r="E9" s="10" t="s">
        <v>424</v>
      </c>
      <c r="F9" s="10" t="s">
        <v>425</v>
      </c>
      <c r="G9" s="10" t="s">
        <v>426</v>
      </c>
      <c r="H9" s="16" t="s">
        <v>15</v>
      </c>
      <c r="I9" s="10" t="s">
        <v>60</v>
      </c>
      <c r="J9" s="10" t="s">
        <v>60</v>
      </c>
      <c r="K9" s="10" t="s">
        <v>285</v>
      </c>
      <c r="L9" s="10"/>
    </row>
    <row r="10" customFormat="false" ht="23.85" hidden="false" customHeight="false" outlineLevel="0" collapsed="false">
      <c r="A10" s="10" t="n">
        <v>6</v>
      </c>
      <c r="B10" s="10" t="s">
        <v>427</v>
      </c>
      <c r="C10" s="10" t="s">
        <v>428</v>
      </c>
      <c r="D10" s="10" t="s">
        <v>372</v>
      </c>
      <c r="E10" s="10" t="s">
        <v>429</v>
      </c>
      <c r="F10" s="10" t="s">
        <v>430</v>
      </c>
      <c r="G10" s="10" t="s">
        <v>431</v>
      </c>
      <c r="H10" s="16" t="s">
        <v>15</v>
      </c>
      <c r="I10" s="10" t="s">
        <v>432</v>
      </c>
      <c r="J10" s="10" t="s">
        <v>433</v>
      </c>
      <c r="K10" s="10" t="s">
        <v>285</v>
      </c>
      <c r="L10" s="10"/>
    </row>
    <row r="11" customFormat="false" ht="23.85" hidden="false" customHeight="false" outlineLevel="0" collapsed="false">
      <c r="A11" s="10" t="n">
        <v>7</v>
      </c>
      <c r="B11" s="10" t="s">
        <v>434</v>
      </c>
      <c r="C11" s="10" t="s">
        <v>435</v>
      </c>
      <c r="D11" s="10" t="s">
        <v>372</v>
      </c>
      <c r="E11" s="10" t="s">
        <v>436</v>
      </c>
      <c r="F11" s="10" t="s">
        <v>437</v>
      </c>
      <c r="G11" s="10" t="s">
        <v>438</v>
      </c>
      <c r="H11" s="16" t="s">
        <v>15</v>
      </c>
      <c r="I11" s="10" t="s">
        <v>60</v>
      </c>
      <c r="J11" s="10" t="s">
        <v>78</v>
      </c>
      <c r="K11" s="10" t="s">
        <v>285</v>
      </c>
      <c r="L11" s="10"/>
    </row>
    <row r="12" customFormat="false" ht="23.85" hidden="false" customHeight="false" outlineLevel="0" collapsed="false">
      <c r="A12" s="10" t="n">
        <v>8</v>
      </c>
      <c r="B12" s="10" t="s">
        <v>439</v>
      </c>
      <c r="C12" s="10" t="s">
        <v>440</v>
      </c>
      <c r="D12" s="10" t="s">
        <v>372</v>
      </c>
      <c r="E12" s="10" t="s">
        <v>441</v>
      </c>
      <c r="F12" s="10" t="s">
        <v>437</v>
      </c>
      <c r="G12" s="10" t="s">
        <v>442</v>
      </c>
      <c r="H12" s="16" t="s">
        <v>15</v>
      </c>
      <c r="I12" s="10" t="s">
        <v>60</v>
      </c>
      <c r="J12" s="10" t="s">
        <v>78</v>
      </c>
      <c r="K12" s="10" t="s">
        <v>285</v>
      </c>
      <c r="L12" s="10"/>
    </row>
    <row r="13" customFormat="false" ht="23.85" hidden="false" customHeight="false" outlineLevel="0" collapsed="false">
      <c r="A13" s="10" t="n">
        <v>9</v>
      </c>
      <c r="B13" s="10" t="s">
        <v>443</v>
      </c>
      <c r="C13" s="10" t="s">
        <v>444</v>
      </c>
      <c r="D13" s="10" t="s">
        <v>372</v>
      </c>
      <c r="E13" s="10" t="s">
        <v>445</v>
      </c>
      <c r="F13" s="10" t="s">
        <v>446</v>
      </c>
      <c r="G13" s="10" t="s">
        <v>447</v>
      </c>
      <c r="H13" s="16" t="s">
        <v>15</v>
      </c>
      <c r="I13" s="10" t="s">
        <v>448</v>
      </c>
      <c r="J13" s="10" t="s">
        <v>78</v>
      </c>
      <c r="K13" s="10" t="s">
        <v>285</v>
      </c>
      <c r="L13" s="10"/>
    </row>
    <row r="14" customFormat="false" ht="23.85" hidden="false" customHeight="false" outlineLevel="0" collapsed="false">
      <c r="A14" s="10" t="n">
        <v>10</v>
      </c>
      <c r="B14" s="10" t="s">
        <v>449</v>
      </c>
      <c r="C14" s="10" t="s">
        <v>450</v>
      </c>
      <c r="D14" s="10" t="s">
        <v>372</v>
      </c>
      <c r="E14" s="10" t="s">
        <v>451</v>
      </c>
      <c r="F14" s="10" t="s">
        <v>452</v>
      </c>
      <c r="G14" s="10" t="s">
        <v>453</v>
      </c>
      <c r="H14" s="16" t="s">
        <v>15</v>
      </c>
      <c r="I14" s="10" t="s">
        <v>60</v>
      </c>
      <c r="J14" s="10" t="s">
        <v>454</v>
      </c>
      <c r="K14" s="10" t="s">
        <v>285</v>
      </c>
      <c r="L14" s="10"/>
    </row>
    <row r="15" customFormat="false" ht="23.85" hidden="false" customHeight="false" outlineLevel="0" collapsed="false">
      <c r="A15" s="10" t="n">
        <v>11</v>
      </c>
      <c r="B15" s="10" t="s">
        <v>134</v>
      </c>
      <c r="C15" s="10" t="s">
        <v>455</v>
      </c>
      <c r="D15" s="10" t="s">
        <v>372</v>
      </c>
      <c r="E15" s="10" t="s">
        <v>135</v>
      </c>
      <c r="F15" s="10" t="s">
        <v>456</v>
      </c>
      <c r="G15" s="10" t="s">
        <v>328</v>
      </c>
      <c r="H15" s="16" t="s">
        <v>17</v>
      </c>
      <c r="I15" s="10" t="s">
        <v>136</v>
      </c>
      <c r="J15" s="10" t="s">
        <v>137</v>
      </c>
      <c r="K15" s="10" t="s">
        <v>289</v>
      </c>
      <c r="L15" s="10"/>
    </row>
    <row r="16" customFormat="false" ht="15" hidden="false" customHeight="false" outlineLevel="0" collapsed="false">
      <c r="A16" s="10" t="n">
        <v>12</v>
      </c>
      <c r="B16" s="10" t="s">
        <v>138</v>
      </c>
      <c r="C16" s="10" t="s">
        <v>457</v>
      </c>
      <c r="D16" s="10" t="s">
        <v>372</v>
      </c>
      <c r="E16" s="10" t="s">
        <v>139</v>
      </c>
      <c r="F16" s="10" t="s">
        <v>458</v>
      </c>
      <c r="G16" s="10" t="s">
        <v>459</v>
      </c>
      <c r="H16" s="16" t="s">
        <v>17</v>
      </c>
      <c r="I16" s="10" t="s">
        <v>140</v>
      </c>
      <c r="J16" s="10" t="s">
        <v>141</v>
      </c>
      <c r="K16" s="10" t="s">
        <v>289</v>
      </c>
      <c r="L16" s="10"/>
    </row>
    <row r="17" customFormat="false" ht="23.85" hidden="false" customHeight="false" outlineLevel="0" collapsed="false">
      <c r="A17" s="10" t="n">
        <v>13</v>
      </c>
      <c r="B17" s="10" t="s">
        <v>142</v>
      </c>
      <c r="C17" s="10" t="s">
        <v>460</v>
      </c>
      <c r="D17" s="10" t="s">
        <v>372</v>
      </c>
      <c r="E17" s="10" t="s">
        <v>143</v>
      </c>
      <c r="F17" s="10" t="s">
        <v>461</v>
      </c>
      <c r="G17" s="10" t="s">
        <v>328</v>
      </c>
      <c r="H17" s="16" t="s">
        <v>17</v>
      </c>
      <c r="I17" s="10" t="s">
        <v>144</v>
      </c>
      <c r="J17" s="10" t="s">
        <v>60</v>
      </c>
      <c r="K17" s="10" t="s">
        <v>289</v>
      </c>
      <c r="L17" s="10"/>
    </row>
  </sheetData>
  <autoFilter ref="A4:L17"/>
  <conditionalFormatting sqref="A5:L17">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7"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462</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15" hidden="false" customHeight="false" outlineLevel="0" collapsed="false">
      <c r="A5" s="10" t="n">
        <v>1</v>
      </c>
      <c r="B5" s="10" t="s">
        <v>145</v>
      </c>
      <c r="C5" s="10" t="s">
        <v>463</v>
      </c>
      <c r="D5" s="10" t="s">
        <v>314</v>
      </c>
      <c r="E5" s="10" t="s">
        <v>322</v>
      </c>
      <c r="F5" s="10" t="s">
        <v>464</v>
      </c>
      <c r="G5" s="10" t="s">
        <v>465</v>
      </c>
      <c r="H5" s="16" t="s">
        <v>15</v>
      </c>
      <c r="I5" s="10" t="s">
        <v>60</v>
      </c>
      <c r="J5" s="10" t="s">
        <v>466</v>
      </c>
      <c r="K5" s="10" t="s">
        <v>285</v>
      </c>
      <c r="L5" s="10"/>
    </row>
    <row r="6" customFormat="false" ht="15" hidden="false" customHeight="false" outlineLevel="0" collapsed="false">
      <c r="A6" s="10" t="n">
        <v>2</v>
      </c>
      <c r="B6" s="10" t="s">
        <v>145</v>
      </c>
      <c r="C6" s="10" t="s">
        <v>463</v>
      </c>
      <c r="D6" s="10" t="s">
        <v>372</v>
      </c>
      <c r="E6" s="10" t="s">
        <v>467</v>
      </c>
      <c r="F6" s="10" t="s">
        <v>468</v>
      </c>
      <c r="G6" s="10" t="s">
        <v>469</v>
      </c>
      <c r="H6" s="16" t="s">
        <v>15</v>
      </c>
      <c r="I6" s="10" t="s">
        <v>60</v>
      </c>
      <c r="J6" s="10" t="s">
        <v>60</v>
      </c>
      <c r="K6" s="10" t="s">
        <v>285</v>
      </c>
      <c r="L6" s="10"/>
    </row>
    <row r="7" customFormat="false" ht="23.85" hidden="false" customHeight="false" outlineLevel="0" collapsed="false">
      <c r="A7" s="10" t="n">
        <v>3</v>
      </c>
      <c r="B7" s="10" t="s">
        <v>145</v>
      </c>
      <c r="C7" s="10" t="s">
        <v>463</v>
      </c>
      <c r="D7" s="10" t="s">
        <v>372</v>
      </c>
      <c r="E7" s="10" t="s">
        <v>470</v>
      </c>
      <c r="F7" s="10" t="s">
        <v>471</v>
      </c>
      <c r="G7" s="10" t="s">
        <v>472</v>
      </c>
      <c r="H7" s="16" t="s">
        <v>15</v>
      </c>
      <c r="I7" s="10" t="s">
        <v>60</v>
      </c>
      <c r="J7" s="10" t="s">
        <v>60</v>
      </c>
      <c r="K7" s="10" t="s">
        <v>285</v>
      </c>
      <c r="L7" s="10"/>
    </row>
    <row r="8" customFormat="false" ht="23.85" hidden="false" customHeight="false" outlineLevel="0" collapsed="false">
      <c r="A8" s="10" t="n">
        <v>4</v>
      </c>
      <c r="B8" s="10" t="s">
        <v>145</v>
      </c>
      <c r="C8" s="10" t="s">
        <v>463</v>
      </c>
      <c r="D8" s="10" t="s">
        <v>372</v>
      </c>
      <c r="E8" s="10" t="s">
        <v>231</v>
      </c>
      <c r="F8" s="10" t="s">
        <v>473</v>
      </c>
      <c r="G8" s="10" t="s">
        <v>474</v>
      </c>
      <c r="H8" s="16" t="s">
        <v>16</v>
      </c>
      <c r="I8" s="10" t="s">
        <v>232</v>
      </c>
      <c r="J8" s="10" t="s">
        <v>233</v>
      </c>
      <c r="K8" s="10" t="s">
        <v>289</v>
      </c>
      <c r="L8" s="10"/>
    </row>
    <row r="9" customFormat="false" ht="15" hidden="false" customHeight="false" outlineLevel="0" collapsed="false">
      <c r="A9" s="10" t="n">
        <v>5</v>
      </c>
      <c r="B9" s="10" t="s">
        <v>145</v>
      </c>
      <c r="C9" s="10" t="s">
        <v>463</v>
      </c>
      <c r="D9" s="10" t="s">
        <v>372</v>
      </c>
      <c r="E9" s="10" t="s">
        <v>146</v>
      </c>
      <c r="F9" s="10" t="s">
        <v>475</v>
      </c>
      <c r="G9" s="10" t="s">
        <v>476</v>
      </c>
      <c r="H9" s="16" t="s">
        <v>17</v>
      </c>
      <c r="I9" s="10" t="s">
        <v>147</v>
      </c>
      <c r="J9" s="10" t="s">
        <v>148</v>
      </c>
      <c r="K9" s="10" t="s">
        <v>289</v>
      </c>
      <c r="L9" s="10"/>
    </row>
    <row r="10" customFormat="false" ht="23.85" hidden="false" customHeight="false" outlineLevel="0" collapsed="false">
      <c r="A10" s="10" t="n">
        <v>6</v>
      </c>
      <c r="B10" s="10" t="s">
        <v>145</v>
      </c>
      <c r="C10" s="10" t="s">
        <v>463</v>
      </c>
      <c r="D10" s="10" t="s">
        <v>372</v>
      </c>
      <c r="E10" s="10" t="s">
        <v>477</v>
      </c>
      <c r="F10" s="10" t="s">
        <v>478</v>
      </c>
      <c r="G10" s="10" t="s">
        <v>479</v>
      </c>
      <c r="H10" s="16" t="s">
        <v>15</v>
      </c>
      <c r="I10" s="10" t="s">
        <v>60</v>
      </c>
      <c r="J10" s="10" t="s">
        <v>60</v>
      </c>
      <c r="K10" s="10" t="s">
        <v>285</v>
      </c>
      <c r="L10" s="10"/>
    </row>
    <row r="11" customFormat="false" ht="15" hidden="false" customHeight="false" outlineLevel="0" collapsed="false">
      <c r="A11" s="10" t="n">
        <v>7</v>
      </c>
      <c r="B11" s="10" t="s">
        <v>480</v>
      </c>
      <c r="C11" s="10" t="s">
        <v>481</v>
      </c>
      <c r="D11" s="10" t="s">
        <v>372</v>
      </c>
      <c r="E11" s="10" t="s">
        <v>482</v>
      </c>
      <c r="F11" s="10" t="s">
        <v>483</v>
      </c>
      <c r="G11" s="10" t="s">
        <v>484</v>
      </c>
      <c r="H11" s="16" t="s">
        <v>15</v>
      </c>
      <c r="I11" s="10" t="s">
        <v>60</v>
      </c>
      <c r="J11" s="10" t="s">
        <v>78</v>
      </c>
      <c r="K11" s="10" t="s">
        <v>285</v>
      </c>
      <c r="L11" s="10"/>
    </row>
    <row r="12" customFormat="false" ht="15" hidden="false" customHeight="false" outlineLevel="0" collapsed="false">
      <c r="A12" s="10" t="n">
        <v>8</v>
      </c>
      <c r="B12" s="10" t="s">
        <v>485</v>
      </c>
      <c r="C12" s="10" t="s">
        <v>486</v>
      </c>
      <c r="D12" s="10" t="s">
        <v>372</v>
      </c>
      <c r="E12" s="10" t="s">
        <v>487</v>
      </c>
      <c r="F12" s="10" t="s">
        <v>488</v>
      </c>
      <c r="G12" s="10" t="s">
        <v>489</v>
      </c>
      <c r="H12" s="16" t="s">
        <v>15</v>
      </c>
      <c r="I12" s="10" t="s">
        <v>490</v>
      </c>
      <c r="J12" s="10" t="s">
        <v>78</v>
      </c>
      <c r="K12" s="10" t="s">
        <v>285</v>
      </c>
      <c r="L12" s="10"/>
    </row>
    <row r="13" customFormat="false" ht="15" hidden="false" customHeight="false" outlineLevel="0" collapsed="false">
      <c r="A13" s="10" t="n">
        <v>9</v>
      </c>
      <c r="B13" s="10" t="s">
        <v>491</v>
      </c>
      <c r="C13" s="10" t="s">
        <v>492</v>
      </c>
      <c r="D13" s="10" t="s">
        <v>372</v>
      </c>
      <c r="E13" s="10" t="s">
        <v>493</v>
      </c>
      <c r="F13" s="10" t="s">
        <v>494</v>
      </c>
      <c r="G13" s="10" t="s">
        <v>495</v>
      </c>
      <c r="H13" s="16" t="s">
        <v>15</v>
      </c>
      <c r="I13" s="10" t="s">
        <v>60</v>
      </c>
      <c r="J13" s="10" t="s">
        <v>496</v>
      </c>
      <c r="K13" s="10" t="s">
        <v>285</v>
      </c>
      <c r="L13" s="10"/>
    </row>
    <row r="14" customFormat="false" ht="23.85" hidden="false" customHeight="false" outlineLevel="0" collapsed="false">
      <c r="A14" s="10" t="n">
        <v>10</v>
      </c>
      <c r="B14" s="10" t="s">
        <v>497</v>
      </c>
      <c r="C14" s="10" t="s">
        <v>498</v>
      </c>
      <c r="D14" s="10" t="s">
        <v>372</v>
      </c>
      <c r="E14" s="10" t="s">
        <v>499</v>
      </c>
      <c r="F14" s="10" t="s">
        <v>500</v>
      </c>
      <c r="G14" s="10" t="s">
        <v>501</v>
      </c>
      <c r="H14" s="16" t="s">
        <v>15</v>
      </c>
      <c r="I14" s="10" t="s">
        <v>60</v>
      </c>
      <c r="J14" s="10" t="s">
        <v>502</v>
      </c>
      <c r="K14" s="10" t="s">
        <v>285</v>
      </c>
      <c r="L14" s="10"/>
    </row>
    <row r="15" customFormat="false" ht="15" hidden="false" customHeight="false" outlineLevel="0" collapsed="false">
      <c r="A15" s="10" t="n">
        <v>11</v>
      </c>
      <c r="B15" s="10" t="s">
        <v>503</v>
      </c>
      <c r="C15" s="10" t="s">
        <v>504</v>
      </c>
      <c r="D15" s="10" t="s">
        <v>372</v>
      </c>
      <c r="E15" s="10" t="s">
        <v>505</v>
      </c>
      <c r="F15" s="10" t="s">
        <v>506</v>
      </c>
      <c r="G15" s="10" t="s">
        <v>507</v>
      </c>
      <c r="H15" s="16" t="s">
        <v>15</v>
      </c>
      <c r="I15" s="10" t="s">
        <v>60</v>
      </c>
      <c r="J15" s="10" t="s">
        <v>60</v>
      </c>
      <c r="K15" s="10" t="s">
        <v>285</v>
      </c>
      <c r="L15" s="10"/>
    </row>
    <row r="16" customFormat="false" ht="23.85" hidden="false" customHeight="false" outlineLevel="0" collapsed="false">
      <c r="A16" s="10" t="n">
        <v>12</v>
      </c>
      <c r="B16" s="10" t="s">
        <v>234</v>
      </c>
      <c r="C16" s="10" t="s">
        <v>508</v>
      </c>
      <c r="D16" s="10" t="s">
        <v>372</v>
      </c>
      <c r="E16" s="10" t="s">
        <v>235</v>
      </c>
      <c r="F16" s="10" t="s">
        <v>509</v>
      </c>
      <c r="G16" s="10" t="s">
        <v>510</v>
      </c>
      <c r="H16" s="16" t="s">
        <v>16</v>
      </c>
      <c r="I16" s="10" t="s">
        <v>236</v>
      </c>
      <c r="J16" s="10" t="s">
        <v>222</v>
      </c>
      <c r="K16" s="10" t="s">
        <v>289</v>
      </c>
      <c r="L16" s="10"/>
    </row>
  </sheetData>
  <autoFilter ref="A4:L16"/>
  <conditionalFormatting sqref="A5:L16">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6"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511</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237</v>
      </c>
      <c r="C5" s="10" t="s">
        <v>512</v>
      </c>
      <c r="D5" s="10" t="s">
        <v>314</v>
      </c>
      <c r="E5" s="10" t="s">
        <v>238</v>
      </c>
      <c r="F5" s="10" t="s">
        <v>513</v>
      </c>
      <c r="G5" s="10" t="s">
        <v>514</v>
      </c>
      <c r="H5" s="16" t="s">
        <v>16</v>
      </c>
      <c r="I5" s="10" t="s">
        <v>239</v>
      </c>
      <c r="J5" s="10" t="s">
        <v>240</v>
      </c>
      <c r="K5" s="10" t="s">
        <v>289</v>
      </c>
      <c r="L5" s="10"/>
    </row>
    <row r="6" customFormat="false" ht="15" hidden="false" customHeight="false" outlineLevel="0" collapsed="false">
      <c r="A6" s="10" t="n">
        <v>2</v>
      </c>
      <c r="B6" s="10" t="s">
        <v>237</v>
      </c>
      <c r="C6" s="10" t="s">
        <v>512</v>
      </c>
      <c r="D6" s="10" t="s">
        <v>372</v>
      </c>
      <c r="E6" s="10" t="s">
        <v>515</v>
      </c>
      <c r="F6" s="10" t="s">
        <v>516</v>
      </c>
      <c r="G6" s="10" t="s">
        <v>517</v>
      </c>
      <c r="H6" s="16" t="s">
        <v>15</v>
      </c>
      <c r="I6" s="10" t="s">
        <v>60</v>
      </c>
      <c r="J6" s="10" t="s">
        <v>60</v>
      </c>
      <c r="K6" s="10" t="s">
        <v>285</v>
      </c>
      <c r="L6" s="10"/>
    </row>
    <row r="7" customFormat="false" ht="15" hidden="false" customHeight="false" outlineLevel="0" collapsed="false">
      <c r="A7" s="10" t="n">
        <v>3</v>
      </c>
      <c r="B7" s="10" t="s">
        <v>93</v>
      </c>
      <c r="C7" s="10" t="s">
        <v>518</v>
      </c>
      <c r="D7" s="10" t="s">
        <v>372</v>
      </c>
      <c r="E7" s="10" t="s">
        <v>241</v>
      </c>
      <c r="F7" s="10" t="s">
        <v>519</v>
      </c>
      <c r="G7" s="10" t="s">
        <v>520</v>
      </c>
      <c r="H7" s="16" t="s">
        <v>16</v>
      </c>
      <c r="I7" s="10" t="s">
        <v>242</v>
      </c>
      <c r="J7" s="10" t="s">
        <v>243</v>
      </c>
      <c r="K7" s="10" t="s">
        <v>289</v>
      </c>
      <c r="L7" s="10"/>
    </row>
    <row r="8" customFormat="false" ht="23.85" hidden="false" customHeight="false" outlineLevel="0" collapsed="false">
      <c r="A8" s="10" t="n">
        <v>4</v>
      </c>
      <c r="B8" s="10" t="s">
        <v>93</v>
      </c>
      <c r="C8" s="10" t="s">
        <v>518</v>
      </c>
      <c r="D8" s="10" t="s">
        <v>372</v>
      </c>
      <c r="E8" s="10" t="s">
        <v>94</v>
      </c>
      <c r="F8" s="10" t="s">
        <v>521</v>
      </c>
      <c r="G8" s="10" t="s">
        <v>328</v>
      </c>
      <c r="H8" s="16" t="s">
        <v>17</v>
      </c>
      <c r="I8" s="10" t="s">
        <v>95</v>
      </c>
      <c r="J8" s="10" t="s">
        <v>60</v>
      </c>
      <c r="K8" s="10" t="s">
        <v>289</v>
      </c>
      <c r="L8" s="10"/>
    </row>
    <row r="9" customFormat="false" ht="23.85" hidden="false" customHeight="false" outlineLevel="0" collapsed="false">
      <c r="A9" s="10" t="n">
        <v>5</v>
      </c>
      <c r="B9" s="10" t="s">
        <v>93</v>
      </c>
      <c r="C9" s="10" t="s">
        <v>518</v>
      </c>
      <c r="D9" s="10" t="s">
        <v>372</v>
      </c>
      <c r="E9" s="10" t="s">
        <v>96</v>
      </c>
      <c r="F9" s="10" t="s">
        <v>522</v>
      </c>
      <c r="G9" s="10" t="s">
        <v>523</v>
      </c>
      <c r="H9" s="16" t="s">
        <v>17</v>
      </c>
      <c r="I9" s="10" t="s">
        <v>97</v>
      </c>
      <c r="J9" s="10" t="s">
        <v>60</v>
      </c>
      <c r="K9" s="10" t="s">
        <v>289</v>
      </c>
      <c r="L9" s="10"/>
    </row>
    <row r="10" customFormat="false" ht="15" hidden="false" customHeight="false" outlineLevel="0" collapsed="false">
      <c r="A10" s="10" t="n">
        <v>6</v>
      </c>
      <c r="B10" s="10" t="s">
        <v>98</v>
      </c>
      <c r="C10" s="10" t="s">
        <v>524</v>
      </c>
      <c r="D10" s="10" t="s">
        <v>372</v>
      </c>
      <c r="E10" s="10" t="s">
        <v>99</v>
      </c>
      <c r="F10" s="10" t="s">
        <v>525</v>
      </c>
      <c r="G10" s="10" t="s">
        <v>328</v>
      </c>
      <c r="H10" s="16" t="s">
        <v>17</v>
      </c>
      <c r="I10" s="10" t="s">
        <v>100</v>
      </c>
      <c r="J10" s="10" t="s">
        <v>60</v>
      </c>
      <c r="K10" s="10" t="s">
        <v>289</v>
      </c>
      <c r="L10" s="10"/>
    </row>
    <row r="11" customFormat="false" ht="23.85" hidden="false" customHeight="false" outlineLevel="0" collapsed="false">
      <c r="A11" s="10" t="n">
        <v>7</v>
      </c>
      <c r="B11" s="10" t="s">
        <v>101</v>
      </c>
      <c r="C11" s="10" t="s">
        <v>526</v>
      </c>
      <c r="D11" s="10" t="s">
        <v>372</v>
      </c>
      <c r="E11" s="10" t="s">
        <v>102</v>
      </c>
      <c r="F11" s="10" t="s">
        <v>527</v>
      </c>
      <c r="G11" s="10" t="s">
        <v>328</v>
      </c>
      <c r="H11" s="16" t="s">
        <v>17</v>
      </c>
      <c r="I11" s="10" t="s">
        <v>103</v>
      </c>
      <c r="J11" s="10" t="s">
        <v>104</v>
      </c>
      <c r="K11" s="10" t="s">
        <v>289</v>
      </c>
      <c r="L11" s="10"/>
    </row>
    <row r="12" customFormat="false" ht="23.85" hidden="false" customHeight="false" outlineLevel="0" collapsed="false">
      <c r="A12" s="10" t="n">
        <v>8</v>
      </c>
      <c r="B12" s="10" t="s">
        <v>101</v>
      </c>
      <c r="C12" s="10" t="s">
        <v>526</v>
      </c>
      <c r="D12" s="10" t="s">
        <v>372</v>
      </c>
      <c r="E12" s="10" t="s">
        <v>105</v>
      </c>
      <c r="F12" s="10" t="s">
        <v>528</v>
      </c>
      <c r="G12" s="10" t="s">
        <v>328</v>
      </c>
      <c r="H12" s="16" t="s">
        <v>17</v>
      </c>
      <c r="I12" s="10" t="s">
        <v>106</v>
      </c>
      <c r="J12" s="10" t="s">
        <v>60</v>
      </c>
      <c r="K12" s="10" t="s">
        <v>289</v>
      </c>
      <c r="L12" s="10"/>
    </row>
    <row r="13" customFormat="false" ht="23.85" hidden="false" customHeight="false" outlineLevel="0" collapsed="false">
      <c r="A13" s="10" t="n">
        <v>9</v>
      </c>
      <c r="B13" s="10" t="s">
        <v>244</v>
      </c>
      <c r="C13" s="10" t="s">
        <v>529</v>
      </c>
      <c r="D13" s="10" t="s">
        <v>530</v>
      </c>
      <c r="E13" s="10" t="s">
        <v>245</v>
      </c>
      <c r="F13" s="10" t="s">
        <v>531</v>
      </c>
      <c r="G13" s="10" t="s">
        <v>532</v>
      </c>
      <c r="H13" s="16" t="s">
        <v>16</v>
      </c>
      <c r="I13" s="10" t="s">
        <v>246</v>
      </c>
      <c r="J13" s="10" t="s">
        <v>247</v>
      </c>
      <c r="K13" s="10" t="s">
        <v>289</v>
      </c>
      <c r="L13" s="10"/>
    </row>
    <row r="14" customFormat="false" ht="23.85" hidden="false" customHeight="false" outlineLevel="0" collapsed="false">
      <c r="A14" s="10" t="n">
        <v>10</v>
      </c>
      <c r="B14" s="10" t="s">
        <v>533</v>
      </c>
      <c r="C14" s="10" t="s">
        <v>534</v>
      </c>
      <c r="D14" s="10" t="s">
        <v>530</v>
      </c>
      <c r="E14" s="10" t="s">
        <v>535</v>
      </c>
      <c r="F14" s="10" t="s">
        <v>536</v>
      </c>
      <c r="G14" s="10" t="s">
        <v>537</v>
      </c>
      <c r="H14" s="16" t="s">
        <v>15</v>
      </c>
      <c r="I14" s="10" t="s">
        <v>538</v>
      </c>
      <c r="J14" s="10" t="s">
        <v>60</v>
      </c>
      <c r="K14" s="10" t="s">
        <v>285</v>
      </c>
      <c r="L14" s="10"/>
    </row>
    <row r="15" customFormat="false" ht="15" hidden="false" customHeight="false" outlineLevel="0" collapsed="false">
      <c r="A15" s="10" t="n">
        <v>11</v>
      </c>
      <c r="B15" s="10" t="s">
        <v>248</v>
      </c>
      <c r="C15" s="10" t="s">
        <v>539</v>
      </c>
      <c r="D15" s="10" t="s">
        <v>45</v>
      </c>
      <c r="E15" s="10" t="s">
        <v>249</v>
      </c>
      <c r="F15" s="10" t="s">
        <v>540</v>
      </c>
      <c r="G15" s="10" t="s">
        <v>541</v>
      </c>
      <c r="H15" s="16" t="s">
        <v>16</v>
      </c>
      <c r="I15" s="10" t="s">
        <v>250</v>
      </c>
      <c r="J15" s="10" t="s">
        <v>60</v>
      </c>
      <c r="K15" s="10" t="s">
        <v>289</v>
      </c>
      <c r="L15" s="10"/>
    </row>
    <row r="16" customFormat="false" ht="23.85" hidden="false" customHeight="false" outlineLevel="0" collapsed="false">
      <c r="A16" s="10" t="n">
        <v>12</v>
      </c>
      <c r="B16" s="10" t="s">
        <v>251</v>
      </c>
      <c r="C16" s="10" t="s">
        <v>542</v>
      </c>
      <c r="D16" s="10" t="s">
        <v>372</v>
      </c>
      <c r="E16" s="10" t="s">
        <v>252</v>
      </c>
      <c r="F16" s="10" t="s">
        <v>543</v>
      </c>
      <c r="G16" s="10" t="s">
        <v>544</v>
      </c>
      <c r="H16" s="16" t="s">
        <v>16</v>
      </c>
      <c r="I16" s="10" t="s">
        <v>253</v>
      </c>
      <c r="J16" s="10" t="s">
        <v>60</v>
      </c>
      <c r="K16" s="10" t="s">
        <v>289</v>
      </c>
      <c r="L16" s="10"/>
    </row>
    <row r="17" customFormat="false" ht="23.85" hidden="false" customHeight="false" outlineLevel="0" collapsed="false">
      <c r="A17" s="10" t="n">
        <v>13</v>
      </c>
      <c r="B17" s="10" t="s">
        <v>107</v>
      </c>
      <c r="C17" s="10" t="s">
        <v>545</v>
      </c>
      <c r="D17" s="10" t="s">
        <v>372</v>
      </c>
      <c r="E17" s="10" t="s">
        <v>108</v>
      </c>
      <c r="F17" s="10" t="s">
        <v>546</v>
      </c>
      <c r="G17" s="10" t="s">
        <v>328</v>
      </c>
      <c r="H17" s="16" t="s">
        <v>17</v>
      </c>
      <c r="I17" s="10" t="s">
        <v>109</v>
      </c>
      <c r="J17" s="10" t="s">
        <v>110</v>
      </c>
      <c r="K17" s="10" t="s">
        <v>289</v>
      </c>
      <c r="L17" s="10"/>
    </row>
  </sheetData>
  <autoFilter ref="A4:L17"/>
  <conditionalFormatting sqref="A5:L17">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7"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547</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15" hidden="false" customHeight="false" outlineLevel="0" collapsed="false">
      <c r="A5" s="10" t="n">
        <v>1</v>
      </c>
      <c r="B5" s="10" t="s">
        <v>254</v>
      </c>
      <c r="C5" s="10" t="s">
        <v>548</v>
      </c>
      <c r="D5" s="10" t="s">
        <v>314</v>
      </c>
      <c r="E5" s="10" t="s">
        <v>255</v>
      </c>
      <c r="F5" s="10" t="s">
        <v>549</v>
      </c>
      <c r="G5" s="10" t="s">
        <v>550</v>
      </c>
      <c r="H5" s="16" t="s">
        <v>16</v>
      </c>
      <c r="I5" s="10" t="s">
        <v>256</v>
      </c>
      <c r="J5" s="10" t="s">
        <v>257</v>
      </c>
      <c r="K5" s="10" t="s">
        <v>289</v>
      </c>
      <c r="L5" s="10"/>
    </row>
    <row r="6" customFormat="false" ht="35.05" hidden="false" customHeight="false" outlineLevel="0" collapsed="false">
      <c r="A6" s="10" t="n">
        <v>2</v>
      </c>
      <c r="B6" s="10" t="s">
        <v>149</v>
      </c>
      <c r="C6" s="10" t="s">
        <v>551</v>
      </c>
      <c r="D6" s="10" t="s">
        <v>372</v>
      </c>
      <c r="E6" s="10" t="s">
        <v>150</v>
      </c>
      <c r="F6" s="10" t="s">
        <v>552</v>
      </c>
      <c r="G6" s="10" t="s">
        <v>553</v>
      </c>
      <c r="H6" s="16" t="s">
        <v>17</v>
      </c>
      <c r="I6" s="10" t="s">
        <v>151</v>
      </c>
      <c r="J6" s="10" t="s">
        <v>152</v>
      </c>
      <c r="K6" s="10" t="s">
        <v>289</v>
      </c>
      <c r="L6" s="10"/>
    </row>
    <row r="7" customFormat="false" ht="23.85" hidden="false" customHeight="false" outlineLevel="0" collapsed="false">
      <c r="A7" s="10" t="n">
        <v>3</v>
      </c>
      <c r="B7" s="10" t="s">
        <v>153</v>
      </c>
      <c r="C7" s="10" t="s">
        <v>554</v>
      </c>
      <c r="D7" s="10" t="s">
        <v>372</v>
      </c>
      <c r="E7" s="10" t="s">
        <v>154</v>
      </c>
      <c r="F7" s="10" t="s">
        <v>555</v>
      </c>
      <c r="G7" s="10" t="s">
        <v>556</v>
      </c>
      <c r="H7" s="16" t="s">
        <v>17</v>
      </c>
      <c r="I7" s="10" t="s">
        <v>155</v>
      </c>
      <c r="J7" s="10" t="s">
        <v>156</v>
      </c>
      <c r="K7" s="10" t="s">
        <v>289</v>
      </c>
      <c r="L7" s="10"/>
    </row>
    <row r="8" customFormat="false" ht="15" hidden="false" customHeight="false" outlineLevel="0" collapsed="false">
      <c r="A8" s="10" t="n">
        <v>4</v>
      </c>
      <c r="B8" s="10" t="s">
        <v>157</v>
      </c>
      <c r="C8" s="10" t="s">
        <v>557</v>
      </c>
      <c r="D8" s="10" t="s">
        <v>372</v>
      </c>
      <c r="E8" s="10" t="s">
        <v>158</v>
      </c>
      <c r="F8" s="10" t="s">
        <v>558</v>
      </c>
      <c r="G8" s="10" t="s">
        <v>559</v>
      </c>
      <c r="H8" s="16" t="s">
        <v>17</v>
      </c>
      <c r="I8" s="10" t="s">
        <v>159</v>
      </c>
      <c r="J8" s="10" t="s">
        <v>78</v>
      </c>
      <c r="K8" s="10" t="s">
        <v>289</v>
      </c>
      <c r="L8" s="10"/>
    </row>
    <row r="9" customFormat="false" ht="23.85" hidden="false" customHeight="false" outlineLevel="0" collapsed="false">
      <c r="A9" s="10" t="n">
        <v>5</v>
      </c>
      <c r="B9" s="10" t="s">
        <v>160</v>
      </c>
      <c r="C9" s="10" t="s">
        <v>560</v>
      </c>
      <c r="D9" s="10" t="s">
        <v>372</v>
      </c>
      <c r="E9" s="10" t="s">
        <v>161</v>
      </c>
      <c r="F9" s="10" t="s">
        <v>561</v>
      </c>
      <c r="G9" s="10" t="s">
        <v>328</v>
      </c>
      <c r="H9" s="16" t="s">
        <v>17</v>
      </c>
      <c r="I9" s="10" t="s">
        <v>162</v>
      </c>
      <c r="J9" s="10" t="s">
        <v>60</v>
      </c>
      <c r="K9" s="10" t="s">
        <v>289</v>
      </c>
      <c r="L9" s="10"/>
    </row>
    <row r="10" customFormat="false" ht="15" hidden="false" customHeight="false" outlineLevel="0" collapsed="false">
      <c r="A10" s="10" t="n">
        <v>6</v>
      </c>
      <c r="B10" s="10" t="s">
        <v>163</v>
      </c>
      <c r="C10" s="10" t="s">
        <v>562</v>
      </c>
      <c r="D10" s="10" t="s">
        <v>372</v>
      </c>
      <c r="E10" s="10" t="s">
        <v>164</v>
      </c>
      <c r="F10" s="10" t="s">
        <v>563</v>
      </c>
      <c r="G10" s="10" t="s">
        <v>564</v>
      </c>
      <c r="H10" s="16" t="s">
        <v>17</v>
      </c>
      <c r="I10" s="10" t="s">
        <v>165</v>
      </c>
      <c r="J10" s="10" t="s">
        <v>60</v>
      </c>
      <c r="K10" s="10" t="s">
        <v>289</v>
      </c>
      <c r="L10" s="10"/>
    </row>
    <row r="11" customFormat="false" ht="23.85" hidden="false" customHeight="false" outlineLevel="0" collapsed="false">
      <c r="A11" s="10" t="n">
        <v>7</v>
      </c>
      <c r="B11" s="10" t="s">
        <v>166</v>
      </c>
      <c r="C11" s="10" t="s">
        <v>565</v>
      </c>
      <c r="D11" s="10" t="s">
        <v>372</v>
      </c>
      <c r="E11" s="10" t="s">
        <v>167</v>
      </c>
      <c r="F11" s="10" t="s">
        <v>566</v>
      </c>
      <c r="G11" s="10" t="s">
        <v>567</v>
      </c>
      <c r="H11" s="16" t="s">
        <v>17</v>
      </c>
      <c r="I11" s="10" t="s">
        <v>168</v>
      </c>
      <c r="J11" s="10" t="s">
        <v>169</v>
      </c>
      <c r="K11" s="10" t="s">
        <v>289</v>
      </c>
      <c r="L11" s="10"/>
    </row>
    <row r="12" customFormat="false" ht="15" hidden="false" customHeight="false" outlineLevel="0" collapsed="false">
      <c r="A12" s="10" t="n">
        <v>8</v>
      </c>
      <c r="B12" s="10" t="s">
        <v>170</v>
      </c>
      <c r="C12" s="10" t="s">
        <v>568</v>
      </c>
      <c r="D12" s="10" t="s">
        <v>372</v>
      </c>
      <c r="E12" s="10" t="s">
        <v>171</v>
      </c>
      <c r="F12" s="10" t="s">
        <v>569</v>
      </c>
      <c r="G12" s="10" t="s">
        <v>570</v>
      </c>
      <c r="H12" s="16" t="s">
        <v>17</v>
      </c>
      <c r="I12" s="10" t="s">
        <v>172</v>
      </c>
      <c r="J12" s="10" t="s">
        <v>173</v>
      </c>
      <c r="K12" s="10" t="s">
        <v>289</v>
      </c>
      <c r="L12" s="10"/>
    </row>
    <row r="13" customFormat="false" ht="15" hidden="false" customHeight="false" outlineLevel="0" collapsed="false">
      <c r="A13" s="10" t="n">
        <v>9</v>
      </c>
      <c r="B13" s="10" t="s">
        <v>130</v>
      </c>
      <c r="C13" s="10" t="s">
        <v>571</v>
      </c>
      <c r="D13" s="10" t="s">
        <v>372</v>
      </c>
      <c r="E13" s="10" t="s">
        <v>131</v>
      </c>
      <c r="F13" s="10" t="s">
        <v>572</v>
      </c>
      <c r="G13" s="10" t="s">
        <v>573</v>
      </c>
      <c r="H13" s="16" t="s">
        <v>16</v>
      </c>
      <c r="I13" s="10" t="s">
        <v>132</v>
      </c>
      <c r="J13" s="10" t="s">
        <v>60</v>
      </c>
      <c r="K13" s="10" t="s">
        <v>289</v>
      </c>
      <c r="L13" s="10"/>
    </row>
  </sheetData>
  <autoFilter ref="A4:L13"/>
  <conditionalFormatting sqref="A5:L13">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3"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574</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575</v>
      </c>
      <c r="C5" s="10" t="s">
        <v>576</v>
      </c>
      <c r="D5" s="10" t="s">
        <v>372</v>
      </c>
      <c r="E5" s="10" t="s">
        <v>577</v>
      </c>
      <c r="F5" s="10" t="s">
        <v>578</v>
      </c>
      <c r="G5" s="10" t="s">
        <v>579</v>
      </c>
      <c r="H5" s="16" t="s">
        <v>15</v>
      </c>
      <c r="I5" s="10" t="s">
        <v>60</v>
      </c>
      <c r="J5" s="10" t="s">
        <v>580</v>
      </c>
      <c r="K5" s="10" t="s">
        <v>285</v>
      </c>
      <c r="L5" s="10"/>
    </row>
    <row r="6" customFormat="false" ht="23.85" hidden="false" customHeight="false" outlineLevel="0" collapsed="false">
      <c r="A6" s="10" t="n">
        <v>2</v>
      </c>
      <c r="B6" s="10" t="s">
        <v>575</v>
      </c>
      <c r="C6" s="10" t="s">
        <v>576</v>
      </c>
      <c r="D6" s="10" t="s">
        <v>372</v>
      </c>
      <c r="E6" s="10" t="s">
        <v>581</v>
      </c>
      <c r="F6" s="10" t="s">
        <v>582</v>
      </c>
      <c r="G6" s="10" t="s">
        <v>583</v>
      </c>
      <c r="H6" s="16" t="s">
        <v>15</v>
      </c>
      <c r="I6" s="10" t="s">
        <v>60</v>
      </c>
      <c r="J6" s="10" t="s">
        <v>584</v>
      </c>
      <c r="K6" s="10" t="s">
        <v>285</v>
      </c>
      <c r="L6" s="10"/>
    </row>
    <row r="7" customFormat="false" ht="23.85" hidden="false" customHeight="false" outlineLevel="0" collapsed="false">
      <c r="A7" s="10" t="n">
        <v>3</v>
      </c>
      <c r="B7" s="10" t="s">
        <v>174</v>
      </c>
      <c r="C7" s="10" t="s">
        <v>585</v>
      </c>
      <c r="D7" s="10" t="s">
        <v>372</v>
      </c>
      <c r="E7" s="10" t="s">
        <v>175</v>
      </c>
      <c r="F7" s="10" t="s">
        <v>586</v>
      </c>
      <c r="G7" s="10" t="s">
        <v>328</v>
      </c>
      <c r="H7" s="16" t="s">
        <v>17</v>
      </c>
      <c r="I7" s="10" t="s">
        <v>176</v>
      </c>
      <c r="J7" s="10" t="s">
        <v>60</v>
      </c>
      <c r="K7" s="10" t="s">
        <v>289</v>
      </c>
      <c r="L7" s="10"/>
    </row>
    <row r="8" customFormat="false" ht="15" hidden="false" customHeight="false" outlineLevel="0" collapsed="false">
      <c r="A8" s="10" t="n">
        <v>4</v>
      </c>
      <c r="B8" s="10" t="s">
        <v>177</v>
      </c>
      <c r="C8" s="10" t="s">
        <v>587</v>
      </c>
      <c r="D8" s="10" t="s">
        <v>372</v>
      </c>
      <c r="E8" s="10" t="s">
        <v>178</v>
      </c>
      <c r="F8" s="10" t="s">
        <v>588</v>
      </c>
      <c r="G8" s="10" t="s">
        <v>589</v>
      </c>
      <c r="H8" s="16" t="s">
        <v>17</v>
      </c>
      <c r="I8" s="10" t="s">
        <v>179</v>
      </c>
      <c r="J8" s="10" t="s">
        <v>180</v>
      </c>
      <c r="K8" s="10" t="s">
        <v>289</v>
      </c>
      <c r="L8" s="10"/>
    </row>
    <row r="9" customFormat="false" ht="23.85" hidden="false" customHeight="false" outlineLevel="0" collapsed="false">
      <c r="A9" s="10" t="n">
        <v>5</v>
      </c>
      <c r="B9" s="10" t="s">
        <v>181</v>
      </c>
      <c r="C9" s="10" t="s">
        <v>590</v>
      </c>
      <c r="D9" s="10" t="s">
        <v>372</v>
      </c>
      <c r="E9" s="10" t="s">
        <v>182</v>
      </c>
      <c r="F9" s="10" t="s">
        <v>591</v>
      </c>
      <c r="G9" s="10" t="s">
        <v>328</v>
      </c>
      <c r="H9" s="16" t="s">
        <v>17</v>
      </c>
      <c r="I9" s="10" t="s">
        <v>183</v>
      </c>
      <c r="J9" s="10" t="s">
        <v>184</v>
      </c>
      <c r="K9" s="10" t="s">
        <v>289</v>
      </c>
      <c r="L9" s="10"/>
    </row>
    <row r="10" customFormat="false" ht="15" hidden="false" customHeight="false" outlineLevel="0" collapsed="false">
      <c r="A10" s="10" t="n">
        <v>6</v>
      </c>
      <c r="B10" s="10" t="s">
        <v>185</v>
      </c>
      <c r="C10" s="10" t="s">
        <v>592</v>
      </c>
      <c r="D10" s="10" t="s">
        <v>372</v>
      </c>
      <c r="E10" s="10" t="s">
        <v>186</v>
      </c>
      <c r="F10" s="10" t="s">
        <v>593</v>
      </c>
      <c r="G10" s="10" t="s">
        <v>328</v>
      </c>
      <c r="H10" s="16" t="s">
        <v>17</v>
      </c>
      <c r="I10" s="10" t="s">
        <v>187</v>
      </c>
      <c r="J10" s="10" t="s">
        <v>60</v>
      </c>
      <c r="K10" s="10" t="s">
        <v>289</v>
      </c>
      <c r="L10" s="10"/>
    </row>
    <row r="11" customFormat="false" ht="15" hidden="false" customHeight="false" outlineLevel="0" collapsed="false">
      <c r="A11" s="10" t="n">
        <v>7</v>
      </c>
      <c r="B11" s="10" t="s">
        <v>594</v>
      </c>
      <c r="C11" s="10" t="s">
        <v>595</v>
      </c>
      <c r="D11" s="10" t="s">
        <v>45</v>
      </c>
      <c r="E11" s="10" t="s">
        <v>596</v>
      </c>
      <c r="F11" s="10" t="s">
        <v>597</v>
      </c>
      <c r="G11" s="10" t="s">
        <v>541</v>
      </c>
      <c r="H11" s="16" t="s">
        <v>15</v>
      </c>
      <c r="I11" s="10" t="s">
        <v>60</v>
      </c>
      <c r="J11" s="10" t="s">
        <v>60</v>
      </c>
      <c r="K11" s="10" t="s">
        <v>285</v>
      </c>
      <c r="L11" s="10"/>
    </row>
  </sheetData>
  <autoFilter ref="A4:L11"/>
  <conditionalFormatting sqref="A5:L11">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1"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598</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188</v>
      </c>
      <c r="C5" s="10" t="s">
        <v>599</v>
      </c>
      <c r="D5" s="10" t="s">
        <v>600</v>
      </c>
      <c r="E5" s="10" t="s">
        <v>189</v>
      </c>
      <c r="F5" s="10" t="s">
        <v>601</v>
      </c>
      <c r="G5" s="10" t="s">
        <v>328</v>
      </c>
      <c r="H5" s="16" t="s">
        <v>17</v>
      </c>
      <c r="I5" s="10" t="s">
        <v>190</v>
      </c>
      <c r="J5" s="10" t="s">
        <v>191</v>
      </c>
      <c r="K5" s="10" t="s">
        <v>289</v>
      </c>
      <c r="L5" s="10"/>
    </row>
    <row r="6" customFormat="false" ht="23.85" hidden="false" customHeight="false" outlineLevel="0" collapsed="false">
      <c r="A6" s="10" t="n">
        <v>2</v>
      </c>
      <c r="B6" s="10" t="s">
        <v>192</v>
      </c>
      <c r="C6" s="10" t="s">
        <v>602</v>
      </c>
      <c r="D6" s="10" t="s">
        <v>600</v>
      </c>
      <c r="E6" s="10" t="s">
        <v>193</v>
      </c>
      <c r="F6" s="10" t="s">
        <v>603</v>
      </c>
      <c r="G6" s="10" t="s">
        <v>328</v>
      </c>
      <c r="H6" s="16" t="s">
        <v>17</v>
      </c>
      <c r="I6" s="10" t="s">
        <v>194</v>
      </c>
      <c r="J6" s="10" t="s">
        <v>195</v>
      </c>
      <c r="K6" s="10" t="s">
        <v>289</v>
      </c>
      <c r="L6" s="10"/>
    </row>
    <row r="7" customFormat="false" ht="23.85" hidden="false" customHeight="false" outlineLevel="0" collapsed="false">
      <c r="A7" s="10" t="n">
        <v>3</v>
      </c>
      <c r="B7" s="10" t="s">
        <v>196</v>
      </c>
      <c r="C7" s="10" t="s">
        <v>604</v>
      </c>
      <c r="D7" s="10" t="s">
        <v>600</v>
      </c>
      <c r="E7" s="10" t="s">
        <v>197</v>
      </c>
      <c r="F7" s="10" t="s">
        <v>605</v>
      </c>
      <c r="G7" s="10" t="s">
        <v>328</v>
      </c>
      <c r="H7" s="16" t="s">
        <v>17</v>
      </c>
      <c r="I7" s="10" t="s">
        <v>198</v>
      </c>
      <c r="J7" s="10" t="s">
        <v>60</v>
      </c>
      <c r="K7" s="10" t="s">
        <v>289</v>
      </c>
      <c r="L7" s="10"/>
    </row>
  </sheetData>
  <autoFilter ref="A4:L7"/>
  <conditionalFormatting sqref="A5:L7">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7"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606</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15" hidden="false" customHeight="false" outlineLevel="0" collapsed="false">
      <c r="A5" s="10" t="n">
        <v>1</v>
      </c>
      <c r="B5" s="10" t="s">
        <v>111</v>
      </c>
      <c r="C5" s="10" t="s">
        <v>607</v>
      </c>
      <c r="D5" s="10" t="s">
        <v>372</v>
      </c>
      <c r="E5" s="10" t="s">
        <v>112</v>
      </c>
      <c r="F5" s="10" t="s">
        <v>608</v>
      </c>
      <c r="G5" s="10" t="s">
        <v>609</v>
      </c>
      <c r="H5" s="16" t="s">
        <v>17</v>
      </c>
      <c r="I5" s="10" t="s">
        <v>113</v>
      </c>
      <c r="J5" s="10" t="s">
        <v>60</v>
      </c>
      <c r="K5" s="10" t="s">
        <v>289</v>
      </c>
      <c r="L5" s="10"/>
    </row>
    <row r="6" customFormat="false" ht="15" hidden="false" customHeight="false" outlineLevel="0" collapsed="false">
      <c r="A6" s="10" t="n">
        <v>2</v>
      </c>
      <c r="B6" s="10" t="s">
        <v>111</v>
      </c>
      <c r="C6" s="10" t="s">
        <v>607</v>
      </c>
      <c r="D6" s="10" t="s">
        <v>530</v>
      </c>
      <c r="E6" s="10" t="s">
        <v>610</v>
      </c>
      <c r="F6" s="10" t="s">
        <v>611</v>
      </c>
      <c r="G6" s="10" t="s">
        <v>541</v>
      </c>
      <c r="H6" s="16" t="s">
        <v>15</v>
      </c>
      <c r="I6" s="10" t="s">
        <v>60</v>
      </c>
      <c r="J6" s="10" t="s">
        <v>60</v>
      </c>
      <c r="K6" s="10" t="s">
        <v>285</v>
      </c>
      <c r="L6" s="10"/>
    </row>
    <row r="7" customFormat="false" ht="23.85" hidden="false" customHeight="false" outlineLevel="0" collapsed="false">
      <c r="A7" s="10" t="n">
        <v>3</v>
      </c>
      <c r="B7" s="10" t="s">
        <v>258</v>
      </c>
      <c r="C7" s="10" t="s">
        <v>612</v>
      </c>
      <c r="D7" s="10" t="s">
        <v>372</v>
      </c>
      <c r="E7" s="10" t="s">
        <v>259</v>
      </c>
      <c r="F7" s="10" t="s">
        <v>613</v>
      </c>
      <c r="G7" s="10" t="s">
        <v>614</v>
      </c>
      <c r="H7" s="16" t="s">
        <v>16</v>
      </c>
      <c r="I7" s="10" t="s">
        <v>260</v>
      </c>
      <c r="J7" s="10" t="s">
        <v>261</v>
      </c>
      <c r="K7" s="10" t="s">
        <v>289</v>
      </c>
      <c r="L7" s="10"/>
    </row>
    <row r="8" customFormat="false" ht="15" hidden="false" customHeight="false" outlineLevel="0" collapsed="false">
      <c r="A8" s="10" t="n">
        <v>4</v>
      </c>
      <c r="B8" s="10" t="s">
        <v>269</v>
      </c>
      <c r="C8" s="10" t="s">
        <v>615</v>
      </c>
      <c r="D8" s="10" t="s">
        <v>372</v>
      </c>
      <c r="E8" s="10" t="s">
        <v>270</v>
      </c>
      <c r="F8" s="10" t="s">
        <v>616</v>
      </c>
      <c r="G8" s="10" t="s">
        <v>328</v>
      </c>
      <c r="H8" s="16" t="s">
        <v>17</v>
      </c>
      <c r="I8" s="10" t="s">
        <v>271</v>
      </c>
      <c r="J8" s="10" t="s">
        <v>60</v>
      </c>
      <c r="K8" s="10" t="s">
        <v>289</v>
      </c>
      <c r="L8" s="10"/>
    </row>
  </sheetData>
  <autoFilter ref="A4:L8"/>
  <conditionalFormatting sqref="A5:L8">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8"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617</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114</v>
      </c>
      <c r="C5" s="10" t="s">
        <v>618</v>
      </c>
      <c r="D5" s="10" t="s">
        <v>372</v>
      </c>
      <c r="E5" s="10" t="s">
        <v>115</v>
      </c>
      <c r="F5" s="10" t="s">
        <v>619</v>
      </c>
      <c r="G5" s="10" t="s">
        <v>328</v>
      </c>
      <c r="H5" s="16" t="s">
        <v>17</v>
      </c>
      <c r="I5" s="10" t="s">
        <v>116</v>
      </c>
      <c r="J5" s="10" t="s">
        <v>117</v>
      </c>
      <c r="K5" s="10" t="s">
        <v>289</v>
      </c>
      <c r="L5" s="10"/>
    </row>
    <row r="6" customFormat="false" ht="23.85" hidden="false" customHeight="false" outlineLevel="0" collapsed="false">
      <c r="A6" s="10" t="n">
        <v>2</v>
      </c>
      <c r="B6" s="10" t="s">
        <v>118</v>
      </c>
      <c r="C6" s="10" t="s">
        <v>620</v>
      </c>
      <c r="D6" s="10" t="s">
        <v>372</v>
      </c>
      <c r="E6" s="10" t="s">
        <v>119</v>
      </c>
      <c r="F6" s="10" t="s">
        <v>621</v>
      </c>
      <c r="G6" s="10" t="s">
        <v>328</v>
      </c>
      <c r="H6" s="16" t="s">
        <v>17</v>
      </c>
      <c r="I6" s="10" t="s">
        <v>120</v>
      </c>
      <c r="J6" s="10" t="s">
        <v>60</v>
      </c>
      <c r="K6" s="10" t="s">
        <v>289</v>
      </c>
      <c r="L6" s="10"/>
    </row>
    <row r="7" customFormat="false" ht="15" hidden="false" customHeight="false" outlineLevel="0" collapsed="false">
      <c r="A7" s="10" t="n">
        <v>3</v>
      </c>
      <c r="B7" s="10" t="s">
        <v>121</v>
      </c>
      <c r="C7" s="10" t="s">
        <v>622</v>
      </c>
      <c r="D7" s="10" t="s">
        <v>372</v>
      </c>
      <c r="E7" s="10" t="s">
        <v>122</v>
      </c>
      <c r="F7" s="10" t="s">
        <v>623</v>
      </c>
      <c r="G7" s="10" t="s">
        <v>328</v>
      </c>
      <c r="H7" s="16" t="s">
        <v>17</v>
      </c>
      <c r="I7" s="10" t="s">
        <v>123</v>
      </c>
      <c r="J7" s="10" t="s">
        <v>60</v>
      </c>
      <c r="K7" s="10" t="s">
        <v>289</v>
      </c>
      <c r="L7" s="10"/>
    </row>
    <row r="8" customFormat="false" ht="15" hidden="false" customHeight="false" outlineLevel="0" collapsed="false">
      <c r="A8" s="10" t="n">
        <v>4</v>
      </c>
      <c r="B8" s="10" t="s">
        <v>124</v>
      </c>
      <c r="C8" s="10" t="s">
        <v>624</v>
      </c>
      <c r="D8" s="10" t="s">
        <v>372</v>
      </c>
      <c r="E8" s="10" t="s">
        <v>125</v>
      </c>
      <c r="F8" s="10" t="s">
        <v>625</v>
      </c>
      <c r="G8" s="10" t="s">
        <v>328</v>
      </c>
      <c r="H8" s="16" t="s">
        <v>17</v>
      </c>
      <c r="I8" s="10" t="s">
        <v>126</v>
      </c>
      <c r="J8" s="10" t="s">
        <v>60</v>
      </c>
      <c r="K8" s="10" t="s">
        <v>289</v>
      </c>
      <c r="L8" s="10"/>
    </row>
    <row r="9" customFormat="false" ht="15" hidden="false" customHeight="false" outlineLevel="0" collapsed="false">
      <c r="A9" s="10" t="n">
        <v>5</v>
      </c>
      <c r="B9" s="10" t="s">
        <v>626</v>
      </c>
      <c r="C9" s="10" t="s">
        <v>627</v>
      </c>
      <c r="D9" s="10" t="s">
        <v>372</v>
      </c>
      <c r="E9" s="10" t="s">
        <v>628</v>
      </c>
      <c r="F9" s="10" t="s">
        <v>629</v>
      </c>
      <c r="G9" s="10" t="s">
        <v>328</v>
      </c>
      <c r="H9" s="16" t="s">
        <v>15</v>
      </c>
      <c r="I9" s="10" t="s">
        <v>630</v>
      </c>
      <c r="J9" s="10" t="s">
        <v>60</v>
      </c>
      <c r="K9" s="10" t="s">
        <v>285</v>
      </c>
      <c r="L9" s="10"/>
    </row>
    <row r="10" customFormat="false" ht="23.85" hidden="false" customHeight="false" outlineLevel="0" collapsed="false">
      <c r="A10" s="10" t="n">
        <v>6</v>
      </c>
      <c r="B10" s="10" t="s">
        <v>631</v>
      </c>
      <c r="C10" s="10" t="s">
        <v>632</v>
      </c>
      <c r="D10" s="10" t="s">
        <v>372</v>
      </c>
      <c r="E10" s="10" t="s">
        <v>633</v>
      </c>
      <c r="F10" s="10" t="s">
        <v>634</v>
      </c>
      <c r="G10" s="10" t="s">
        <v>635</v>
      </c>
      <c r="H10" s="16" t="s">
        <v>15</v>
      </c>
      <c r="I10" s="10" t="s">
        <v>636</v>
      </c>
      <c r="J10" s="10" t="s">
        <v>60</v>
      </c>
      <c r="K10" s="10" t="s">
        <v>285</v>
      </c>
      <c r="L10" s="10"/>
    </row>
  </sheetData>
  <autoFilter ref="A4:L10"/>
  <conditionalFormatting sqref="A5:L10">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0"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6"/>
    <col collapsed="false" customWidth="true" hidden="false" outlineLevel="0" max="5" min="5" style="0" width="26"/>
    <col collapsed="false" customWidth="true" hidden="false" outlineLevel="0" max="7" min="6" style="0" width="40"/>
    <col collapsed="false" customWidth="true" hidden="false" outlineLevel="0" max="8" min="8" style="0" width="10"/>
    <col collapsed="false" customWidth="true" hidden="false" outlineLevel="0" max="9" min="9" style="0" width="48"/>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1" customFormat="false" ht="17.35" hidden="false" customHeight="false" outlineLevel="0" collapsed="false">
      <c r="A1" s="1" t="s">
        <v>637</v>
      </c>
    </row>
    <row r="2" customFormat="false" ht="15" hidden="false" customHeight="false" outlineLevel="0" collapsed="false">
      <c r="A2" s="7" t="s">
        <v>273</v>
      </c>
    </row>
    <row r="4" customFormat="false" ht="30" hidden="false" customHeight="true" outlineLevel="0" collapsed="false">
      <c r="A4" s="15" t="s">
        <v>50</v>
      </c>
      <c r="B4" s="15" t="s">
        <v>52</v>
      </c>
      <c r="C4" s="15" t="s">
        <v>274</v>
      </c>
      <c r="D4" s="15" t="s">
        <v>275</v>
      </c>
      <c r="E4" s="15" t="s">
        <v>53</v>
      </c>
      <c r="F4" s="15" t="s">
        <v>276</v>
      </c>
      <c r="G4" s="15" t="s">
        <v>277</v>
      </c>
      <c r="H4" s="15" t="s">
        <v>56</v>
      </c>
      <c r="I4" s="15" t="s">
        <v>54</v>
      </c>
      <c r="J4" s="15" t="s">
        <v>55</v>
      </c>
      <c r="K4" s="15" t="s">
        <v>278</v>
      </c>
      <c r="L4" s="15" t="s">
        <v>279</v>
      </c>
    </row>
    <row r="5" customFormat="false" ht="23.85" hidden="false" customHeight="false" outlineLevel="0" collapsed="false">
      <c r="A5" s="10" t="n">
        <v>1</v>
      </c>
      <c r="B5" s="10" t="s">
        <v>638</v>
      </c>
      <c r="C5" s="10" t="s">
        <v>639</v>
      </c>
      <c r="D5" s="10" t="s">
        <v>530</v>
      </c>
      <c r="E5" s="10" t="s">
        <v>640</v>
      </c>
      <c r="F5" s="10" t="s">
        <v>641</v>
      </c>
      <c r="G5" s="10" t="s">
        <v>541</v>
      </c>
      <c r="H5" s="16" t="s">
        <v>15</v>
      </c>
      <c r="I5" s="10" t="s">
        <v>642</v>
      </c>
      <c r="J5" s="10" t="s">
        <v>60</v>
      </c>
      <c r="K5" s="10" t="s">
        <v>285</v>
      </c>
      <c r="L5" s="10"/>
    </row>
    <row r="6" customFormat="false" ht="15" hidden="false" customHeight="false" outlineLevel="0" collapsed="false">
      <c r="A6" s="10" t="n">
        <v>2</v>
      </c>
      <c r="B6" s="10" t="s">
        <v>643</v>
      </c>
      <c r="C6" s="10" t="s">
        <v>595</v>
      </c>
      <c r="D6" s="10" t="s">
        <v>45</v>
      </c>
      <c r="E6" s="10" t="s">
        <v>644</v>
      </c>
      <c r="F6" s="10" t="s">
        <v>645</v>
      </c>
      <c r="G6" s="10" t="s">
        <v>541</v>
      </c>
      <c r="H6" s="16" t="s">
        <v>15</v>
      </c>
      <c r="I6" s="10" t="s">
        <v>60</v>
      </c>
      <c r="J6" s="10" t="s">
        <v>60</v>
      </c>
      <c r="K6" s="10" t="s">
        <v>285</v>
      </c>
      <c r="L6" s="10"/>
    </row>
    <row r="7" customFormat="false" ht="23.85" hidden="false" customHeight="false" outlineLevel="0" collapsed="false">
      <c r="A7" s="10" t="n">
        <v>3</v>
      </c>
      <c r="B7" s="10" t="s">
        <v>262</v>
      </c>
      <c r="C7" s="10" t="s">
        <v>646</v>
      </c>
      <c r="D7" s="10" t="s">
        <v>530</v>
      </c>
      <c r="E7" s="10" t="s">
        <v>263</v>
      </c>
      <c r="F7" s="10" t="s">
        <v>647</v>
      </c>
      <c r="G7" s="10" t="s">
        <v>541</v>
      </c>
      <c r="H7" s="16" t="s">
        <v>16</v>
      </c>
      <c r="I7" s="10" t="s">
        <v>264</v>
      </c>
      <c r="J7" s="10" t="s">
        <v>60</v>
      </c>
      <c r="K7" s="10" t="s">
        <v>289</v>
      </c>
      <c r="L7" s="10"/>
    </row>
    <row r="8" customFormat="false" ht="23.85" hidden="false" customHeight="false" outlineLevel="0" collapsed="false">
      <c r="A8" s="10" t="n">
        <v>4</v>
      </c>
      <c r="B8" s="10" t="s">
        <v>199</v>
      </c>
      <c r="C8" s="10" t="s">
        <v>648</v>
      </c>
      <c r="D8" s="10" t="s">
        <v>530</v>
      </c>
      <c r="E8" s="10" t="s">
        <v>200</v>
      </c>
      <c r="F8" s="10" t="s">
        <v>649</v>
      </c>
      <c r="G8" s="10" t="s">
        <v>541</v>
      </c>
      <c r="H8" s="16" t="s">
        <v>17</v>
      </c>
      <c r="I8" s="10" t="s">
        <v>201</v>
      </c>
      <c r="J8" s="10" t="s">
        <v>202</v>
      </c>
      <c r="K8" s="10" t="s">
        <v>289</v>
      </c>
      <c r="L8" s="10"/>
    </row>
    <row r="9" customFormat="false" ht="15" hidden="false" customHeight="false" outlineLevel="0" collapsed="false">
      <c r="A9" s="10" t="n">
        <v>5</v>
      </c>
      <c r="B9" s="10" t="s">
        <v>203</v>
      </c>
      <c r="C9" s="10" t="s">
        <v>650</v>
      </c>
      <c r="D9" s="10" t="s">
        <v>530</v>
      </c>
      <c r="E9" s="10" t="s">
        <v>204</v>
      </c>
      <c r="F9" s="10" t="s">
        <v>651</v>
      </c>
      <c r="G9" s="10" t="s">
        <v>541</v>
      </c>
      <c r="H9" s="16" t="s">
        <v>17</v>
      </c>
      <c r="I9" s="10" t="s">
        <v>205</v>
      </c>
      <c r="J9" s="10" t="s">
        <v>60</v>
      </c>
      <c r="K9" s="10" t="s">
        <v>289</v>
      </c>
      <c r="L9" s="10"/>
    </row>
    <row r="10" customFormat="false" ht="23.85" hidden="false" customHeight="false" outlineLevel="0" collapsed="false">
      <c r="A10" s="10" t="n">
        <v>6</v>
      </c>
      <c r="B10" s="10" t="s">
        <v>652</v>
      </c>
      <c r="C10" s="10" t="s">
        <v>653</v>
      </c>
      <c r="D10" s="10" t="s">
        <v>45</v>
      </c>
      <c r="E10" s="10" t="s">
        <v>654</v>
      </c>
      <c r="F10" s="10" t="s">
        <v>655</v>
      </c>
      <c r="G10" s="10" t="s">
        <v>656</v>
      </c>
      <c r="H10" s="16" t="s">
        <v>15</v>
      </c>
      <c r="I10" s="10" t="s">
        <v>657</v>
      </c>
      <c r="J10" s="10" t="s">
        <v>60</v>
      </c>
      <c r="K10" s="10" t="s">
        <v>285</v>
      </c>
      <c r="L10" s="10"/>
    </row>
    <row r="11" customFormat="false" ht="23.85" hidden="false" customHeight="false" outlineLevel="0" collapsed="false">
      <c r="A11" s="10" t="n">
        <v>7</v>
      </c>
      <c r="B11" s="10" t="s">
        <v>206</v>
      </c>
      <c r="C11" s="10" t="s">
        <v>658</v>
      </c>
      <c r="D11" s="10" t="s">
        <v>45</v>
      </c>
      <c r="E11" s="10" t="s">
        <v>207</v>
      </c>
      <c r="F11" s="10" t="s">
        <v>659</v>
      </c>
      <c r="G11" s="10" t="s">
        <v>541</v>
      </c>
      <c r="H11" s="16" t="s">
        <v>17</v>
      </c>
      <c r="I11" s="10" t="s">
        <v>208</v>
      </c>
      <c r="J11" s="10" t="s">
        <v>60</v>
      </c>
      <c r="K11" s="10" t="s">
        <v>289</v>
      </c>
      <c r="L11" s="10"/>
    </row>
    <row r="12" customFormat="false" ht="23.85" hidden="false" customHeight="false" outlineLevel="0" collapsed="false">
      <c r="A12" s="10" t="n">
        <v>8</v>
      </c>
      <c r="B12" s="10" t="s">
        <v>265</v>
      </c>
      <c r="C12" s="10" t="s">
        <v>660</v>
      </c>
      <c r="D12" s="10" t="s">
        <v>45</v>
      </c>
      <c r="E12" s="10" t="s">
        <v>266</v>
      </c>
      <c r="F12" s="10" t="s">
        <v>661</v>
      </c>
      <c r="G12" s="10" t="s">
        <v>541</v>
      </c>
      <c r="H12" s="16" t="s">
        <v>16</v>
      </c>
      <c r="I12" s="10" t="s">
        <v>267</v>
      </c>
      <c r="J12" s="10" t="s">
        <v>60</v>
      </c>
      <c r="K12" s="10" t="s">
        <v>289</v>
      </c>
      <c r="L12" s="10"/>
    </row>
  </sheetData>
  <autoFilter ref="A4:L12"/>
  <conditionalFormatting sqref="A5:L12">
    <cfRule type="expression" priority="2" aboveAverage="0" equalAverage="0" bottom="0" percent="0" rank="0" text="" dxfId="5">
      <formula>$H5="Missing"</formula>
    </cfRule>
    <cfRule type="expression" priority="3" aboveAverage="0" equalAverage="0" bottom="0" percent="0" rank="0" text="" dxfId="6">
      <formula>$H5="Partial"</formula>
    </cfRule>
    <cfRule type="expression" priority="4" aboveAverage="0" equalAverage="0" bottom="0" percent="0" rank="0" text="" dxfId="8">
      <formula>$H5="Ready"</formula>
    </cfRule>
  </conditionalFormatting>
  <dataValidations count="1">
    <dataValidation allowBlank="false" errorStyle="stop" operator="between" showDropDown="false" showErrorMessage="false" showInputMessage="false" sqref="H5:H12" type="list">
      <formula1>"Ready,Partial,Missing"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2026-10-20T06:03:18Z</dcterms:created>
  <dc:creator>openpyxl</dc:creator>
  <dc:description/>
  <dc:language>en-US</dc:language>
  <cp:lastModifiedBy/>
  <dcterms:modified xsi:type="dcterms:W3CDTF">2026-10-20T06:03:18Z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